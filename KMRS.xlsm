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lb_\Videos\Live Timing Scraping\"/>
    </mc:Choice>
  </mc:AlternateContent>
  <xr:revisionPtr revIDLastSave="0" documentId="13_ncr:1_{79BFD7E7-A451-4DAC-9652-53EE1B31430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tart Page" sheetId="1" r:id="rId1"/>
    <sheet name="Main Page" sheetId="3" r:id="rId2"/>
    <sheet name="Calculations v2" sheetId="6" state="hidden" r:id="rId3"/>
    <sheet name="RACING" sheetId="9" r:id="rId4"/>
    <sheet name="Stints List" sheetId="4" r:id="rId5"/>
    <sheet name="Rapport Pilotes" sheetId="7" r:id="rId6"/>
    <sheet name="Simulateur" sheetId="8" r:id="rId7"/>
  </sheets>
  <externalReferences>
    <externalReference r:id="rId8"/>
  </externalReferences>
  <definedNames>
    <definedName name="_xlpm.extra_time" hidden="1" xlm="1">#NAME?</definedName>
    <definedName name="_xlpm.remaining_seconds" hidden="1" xlm="1">#NAME?</definedName>
    <definedName name="_xlnm.Print_Area" localSheetId="3">RACING!$B$1:$Q$22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3" l="1"/>
  <c r="I7" i="3" s="1"/>
  <c r="G6" i="3"/>
  <c r="G5" i="3"/>
  <c r="G4" i="3"/>
  <c r="I4" i="3" s="1"/>
  <c r="G3" i="3"/>
  <c r="I3" i="3" s="1"/>
  <c r="B2" i="9"/>
  <c r="A2" i="9"/>
  <c r="C2" i="9"/>
  <c r="J2" i="9"/>
  <c r="I2" i="9"/>
  <c r="H2" i="9"/>
  <c r="G2" i="9"/>
  <c r="F2" i="9"/>
  <c r="E2" i="9"/>
  <c r="H7" i="3"/>
  <c r="F7" i="3"/>
  <c r="K6" i="9"/>
  <c r="K5" i="9"/>
  <c r="K4" i="9"/>
  <c r="K3" i="9"/>
  <c r="K2" i="9"/>
  <c r="L6" i="9"/>
  <c r="L5" i="9"/>
  <c r="L4" i="9"/>
  <c r="L3" i="9"/>
  <c r="L2" i="9"/>
  <c r="I1" i="9"/>
  <c r="H1" i="9"/>
  <c r="G1" i="9"/>
  <c r="F1" i="9"/>
  <c r="E1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J5" i="3" l="1"/>
  <c r="I5" i="3"/>
  <c r="J6" i="3"/>
  <c r="I6" i="3"/>
  <c r="J3" i="3"/>
  <c r="J7" i="3"/>
  <c r="J4" i="3"/>
  <c r="K47" i="9" l="1"/>
  <c r="B70" i="8" l="1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H6" i="3" l="1"/>
  <c r="H5" i="3"/>
  <c r="H4" i="3"/>
  <c r="H3" i="3"/>
  <c r="F6" i="3"/>
  <c r="F5" i="3"/>
  <c r="F4" i="3"/>
  <c r="F3" i="3"/>
  <c r="I50" i="4"/>
  <c r="F50" i="4" s="1"/>
  <c r="I49" i="4"/>
  <c r="R49" i="4" s="1"/>
  <c r="I48" i="4"/>
  <c r="L48" i="4" s="1"/>
  <c r="I47" i="4"/>
  <c r="F47" i="4" s="1"/>
  <c r="I46" i="4"/>
  <c r="R46" i="4" s="1"/>
  <c r="I45" i="4"/>
  <c r="L45" i="4" s="1"/>
  <c r="I44" i="4"/>
  <c r="F44" i="4" s="1"/>
  <c r="I43" i="4"/>
  <c r="R43" i="4" s="1"/>
  <c r="I42" i="4"/>
  <c r="L42" i="4" s="1"/>
  <c r="I41" i="4"/>
  <c r="F41" i="4" s="1"/>
  <c r="I40" i="4"/>
  <c r="O40" i="4" s="1"/>
  <c r="I39" i="4"/>
  <c r="L39" i="4" s="1"/>
  <c r="I38" i="4"/>
  <c r="F38" i="4" s="1"/>
  <c r="I37" i="4"/>
  <c r="G37" i="4" s="1"/>
  <c r="I36" i="4"/>
  <c r="G36" i="4" s="1"/>
  <c r="I35" i="4"/>
  <c r="G35" i="4" s="1"/>
  <c r="I34" i="4"/>
  <c r="M16" i="3" s="1"/>
  <c r="I33" i="4"/>
  <c r="I32" i="4"/>
  <c r="I31" i="4"/>
  <c r="I30" i="4"/>
  <c r="L20" i="3" s="1"/>
  <c r="S20" i="3" s="1"/>
  <c r="I29" i="4"/>
  <c r="I28" i="4"/>
  <c r="Q28" i="4" s="1"/>
  <c r="G34" i="9" s="1"/>
  <c r="I27" i="4"/>
  <c r="Q23" i="3" s="1"/>
  <c r="I26" i="4"/>
  <c r="F26" i="4" s="1"/>
  <c r="I25" i="4"/>
  <c r="L25" i="3" s="1"/>
  <c r="S25" i="3" s="1"/>
  <c r="I24" i="4"/>
  <c r="L26" i="3" s="1"/>
  <c r="S26" i="3" s="1"/>
  <c r="I23" i="4"/>
  <c r="I22" i="4"/>
  <c r="I21" i="4"/>
  <c r="I20" i="4"/>
  <c r="L30" i="3" s="1"/>
  <c r="S30" i="3" s="1"/>
  <c r="I19" i="4"/>
  <c r="I18" i="4"/>
  <c r="L32" i="3" s="1"/>
  <c r="S32" i="3" s="1"/>
  <c r="I17" i="4"/>
  <c r="L33" i="3" s="1"/>
  <c r="S33" i="3" s="1"/>
  <c r="I16" i="4"/>
  <c r="L34" i="3" s="1"/>
  <c r="S34" i="3" s="1"/>
  <c r="I15" i="4"/>
  <c r="R35" i="3" s="1"/>
  <c r="I14" i="4"/>
  <c r="P3" i="3" s="1"/>
  <c r="I13" i="4"/>
  <c r="I12" i="4"/>
  <c r="P5" i="3" s="1"/>
  <c r="I11" i="4"/>
  <c r="F11" i="4" s="1"/>
  <c r="I10" i="4"/>
  <c r="I9" i="4"/>
  <c r="F9" i="4" s="1"/>
  <c r="I8" i="4"/>
  <c r="Q8" i="4" s="1"/>
  <c r="I7" i="4"/>
  <c r="I6" i="4"/>
  <c r="K6" i="4" s="1"/>
  <c r="F12" i="9" s="1"/>
  <c r="I5" i="4"/>
  <c r="P12" i="3" s="1"/>
  <c r="I4" i="4"/>
  <c r="K4" i="4" s="1"/>
  <c r="F10" i="9" s="1"/>
  <c r="I3" i="4"/>
  <c r="O14" i="3" s="1"/>
  <c r="I2" i="4"/>
  <c r="P15" i="3" s="1"/>
  <c r="J41" i="6"/>
  <c r="H41" i="6" s="1"/>
  <c r="I41" i="6" s="1"/>
  <c r="J40" i="6"/>
  <c r="H40" i="6" s="1"/>
  <c r="I40" i="6" s="1"/>
  <c r="J39" i="6"/>
  <c r="H39" i="6" s="1"/>
  <c r="I39" i="6" s="1"/>
  <c r="J38" i="6"/>
  <c r="H38" i="6" s="1"/>
  <c r="I38" i="6" s="1"/>
  <c r="J37" i="6"/>
  <c r="H37" i="6" s="1"/>
  <c r="I37" i="6" s="1"/>
  <c r="J36" i="6"/>
  <c r="H36" i="6" s="1"/>
  <c r="I36" i="6" s="1"/>
  <c r="J35" i="6"/>
  <c r="H35" i="6" s="1"/>
  <c r="I35" i="6" s="1"/>
  <c r="J34" i="6"/>
  <c r="H34" i="6" s="1"/>
  <c r="I34" i="6" s="1"/>
  <c r="J33" i="6"/>
  <c r="H33" i="6" s="1"/>
  <c r="I33" i="6" s="1"/>
  <c r="J32" i="6"/>
  <c r="H32" i="6" s="1"/>
  <c r="I32" i="6" s="1"/>
  <c r="J31" i="6"/>
  <c r="H31" i="6" s="1"/>
  <c r="I31" i="6" s="1"/>
  <c r="J30" i="6"/>
  <c r="H30" i="6" s="1"/>
  <c r="I30" i="6" s="1"/>
  <c r="J29" i="6"/>
  <c r="H29" i="6"/>
  <c r="J28" i="6"/>
  <c r="H28" i="6"/>
  <c r="J27" i="6"/>
  <c r="H27" i="6"/>
  <c r="J26" i="6"/>
  <c r="H26" i="6"/>
  <c r="J25" i="6"/>
  <c r="H25" i="6"/>
  <c r="J24" i="6"/>
  <c r="H24" i="6"/>
  <c r="J23" i="6"/>
  <c r="H23" i="6"/>
  <c r="J22" i="6"/>
  <c r="H22" i="6"/>
  <c r="J21" i="6"/>
  <c r="H21" i="6"/>
  <c r="J20" i="6"/>
  <c r="H20" i="6"/>
  <c r="J19" i="6"/>
  <c r="H19" i="6"/>
  <c r="J18" i="6"/>
  <c r="H18" i="6"/>
  <c r="J17" i="6"/>
  <c r="H17" i="6"/>
  <c r="H16" i="6"/>
  <c r="J15" i="6"/>
  <c r="H15" i="6"/>
  <c r="J14" i="6"/>
  <c r="H14" i="6"/>
  <c r="J13" i="6"/>
  <c r="H13" i="6"/>
  <c r="J12" i="6"/>
  <c r="H12" i="6"/>
  <c r="J11" i="6"/>
  <c r="H11" i="6"/>
  <c r="H10" i="6"/>
  <c r="J9" i="6"/>
  <c r="H9" i="6"/>
  <c r="H8" i="6"/>
  <c r="J7" i="6"/>
  <c r="H7" i="6"/>
  <c r="H6" i="6"/>
  <c r="J5" i="6"/>
  <c r="H5" i="6"/>
  <c r="B5" i="6"/>
  <c r="H4" i="6"/>
  <c r="B2" i="6"/>
  <c r="B7" i="6" s="1"/>
  <c r="B8" i="6" s="1"/>
  <c r="B11" i="1"/>
  <c r="R51" i="3" l="1" a="1"/>
  <c r="R51" i="3" s="1"/>
  <c r="K50" i="4"/>
  <c r="S51" i="3"/>
  <c r="Q14" i="4"/>
  <c r="G20" i="9" s="1"/>
  <c r="F36" i="4"/>
  <c r="H42" i="9" s="1"/>
  <c r="N14" i="4"/>
  <c r="O14" i="4" s="1"/>
  <c r="L40" i="4"/>
  <c r="I12" i="6"/>
  <c r="I5" i="6"/>
  <c r="K35" i="4"/>
  <c r="F41" i="9" s="1"/>
  <c r="N27" i="4"/>
  <c r="N36" i="4"/>
  <c r="Q36" i="4"/>
  <c r="G42" i="9" s="1"/>
  <c r="I15" i="6"/>
  <c r="F5" i="4"/>
  <c r="H11" i="9" s="1"/>
  <c r="K5" i="4"/>
  <c r="F11" i="9" s="1"/>
  <c r="I11" i="6"/>
  <c r="N5" i="4"/>
  <c r="O5" i="4" s="1"/>
  <c r="L43" i="4"/>
  <c r="I19" i="6"/>
  <c r="I25" i="6"/>
  <c r="F2" i="4"/>
  <c r="H8" i="9" s="1"/>
  <c r="N2" i="4"/>
  <c r="O2" i="4" s="1"/>
  <c r="Q2" i="4"/>
  <c r="R2" i="4" s="1"/>
  <c r="R39" i="4"/>
  <c r="L37" i="4"/>
  <c r="K12" i="4"/>
  <c r="F18" i="9" s="1"/>
  <c r="K44" i="4"/>
  <c r="I17" i="6"/>
  <c r="I23" i="6"/>
  <c r="I29" i="6"/>
  <c r="K46" i="4"/>
  <c r="K41" i="4"/>
  <c r="Q48" i="4"/>
  <c r="R48" i="4"/>
  <c r="K18" i="4"/>
  <c r="F24" i="9" s="1"/>
  <c r="J24" i="9" s="1"/>
  <c r="R36" i="4"/>
  <c r="K43" i="4"/>
  <c r="G50" i="4"/>
  <c r="Q30" i="4"/>
  <c r="G36" i="9" s="1"/>
  <c r="F33" i="4"/>
  <c r="H39" i="9" s="1"/>
  <c r="O37" i="4"/>
  <c r="I7" i="6"/>
  <c r="K47" i="4"/>
  <c r="O32" i="3"/>
  <c r="I21" i="6"/>
  <c r="I27" i="6"/>
  <c r="K2" i="4"/>
  <c r="L2" i="4" s="1"/>
  <c r="F30" i="4"/>
  <c r="H36" i="9" s="1"/>
  <c r="N33" i="4"/>
  <c r="O33" i="4" s="1"/>
  <c r="K40" i="4"/>
  <c r="F48" i="4"/>
  <c r="Q33" i="4"/>
  <c r="G39" i="9" s="1"/>
  <c r="I9" i="6"/>
  <c r="I22" i="6"/>
  <c r="I28" i="6"/>
  <c r="N30" i="4"/>
  <c r="O30" i="4" s="1"/>
  <c r="K37" i="4"/>
  <c r="F43" i="9" s="1"/>
  <c r="F45" i="4"/>
  <c r="N48" i="4"/>
  <c r="N20" i="3"/>
  <c r="N22" i="3"/>
  <c r="Q25" i="4"/>
  <c r="G31" i="9" s="1"/>
  <c r="K34" i="4"/>
  <c r="F40" i="9" s="1"/>
  <c r="F42" i="4"/>
  <c r="N45" i="4"/>
  <c r="Q20" i="3"/>
  <c r="K38" i="4"/>
  <c r="Q45" i="4"/>
  <c r="P20" i="3"/>
  <c r="I24" i="6"/>
  <c r="F18" i="4"/>
  <c r="H24" i="9" s="1"/>
  <c r="K26" i="4"/>
  <c r="F32" i="9" s="1"/>
  <c r="K31" i="4"/>
  <c r="F37" i="9" s="1"/>
  <c r="F39" i="4"/>
  <c r="N42" i="4"/>
  <c r="R45" i="4"/>
  <c r="K49" i="4"/>
  <c r="P32" i="3"/>
  <c r="Q42" i="4"/>
  <c r="L49" i="4"/>
  <c r="Q3" i="3"/>
  <c r="N39" i="4"/>
  <c r="R42" i="4"/>
  <c r="O49" i="4"/>
  <c r="I13" i="6"/>
  <c r="Q27" i="4"/>
  <c r="G33" i="9" s="1"/>
  <c r="K32" i="4"/>
  <c r="F38" i="9" s="1"/>
  <c r="Q39" i="4"/>
  <c r="L46" i="4"/>
  <c r="O39" i="4"/>
  <c r="K29" i="4"/>
  <c r="F35" i="9" s="1"/>
  <c r="J35" i="9" s="1"/>
  <c r="R8" i="4"/>
  <c r="G14" i="9"/>
  <c r="F4" i="6"/>
  <c r="G11" i="4"/>
  <c r="H17" i="9"/>
  <c r="L13" i="3"/>
  <c r="S13" i="3" s="1"/>
  <c r="E10" i="9"/>
  <c r="D10" i="9"/>
  <c r="F8" i="4"/>
  <c r="G38" i="4"/>
  <c r="G41" i="4"/>
  <c r="G44" i="4"/>
  <c r="G47" i="4"/>
  <c r="O9" i="3"/>
  <c r="R29" i="3"/>
  <c r="L29" i="3"/>
  <c r="S29" i="3" s="1"/>
  <c r="L21" i="3"/>
  <c r="S21" i="3" s="1"/>
  <c r="E35" i="9"/>
  <c r="D35" i="9"/>
  <c r="L18" i="3"/>
  <c r="S18" i="3" s="1"/>
  <c r="O18" i="3"/>
  <c r="R18" i="3"/>
  <c r="N18" i="3"/>
  <c r="P18" i="3"/>
  <c r="Q18" i="3"/>
  <c r="L36" i="3"/>
  <c r="S36" i="3" s="1"/>
  <c r="M36" i="3"/>
  <c r="N36" i="3"/>
  <c r="P36" i="3"/>
  <c r="R36" i="3"/>
  <c r="O36" i="3"/>
  <c r="Q36" i="3"/>
  <c r="O10" i="3"/>
  <c r="N21" i="3"/>
  <c r="O50" i="4"/>
  <c r="O38" i="4"/>
  <c r="L35" i="3"/>
  <c r="S35" i="3" s="1"/>
  <c r="D21" i="9"/>
  <c r="E21" i="9"/>
  <c r="R28" i="3"/>
  <c r="L28" i="3"/>
  <c r="S28" i="3" s="1"/>
  <c r="N4" i="4"/>
  <c r="O4" i="4" s="1"/>
  <c r="G9" i="4"/>
  <c r="H15" i="9"/>
  <c r="N15" i="4"/>
  <c r="K22" i="4"/>
  <c r="F28" i="9" s="1"/>
  <c r="N26" i="4"/>
  <c r="O26" i="4" s="1"/>
  <c r="F31" i="4"/>
  <c r="H37" i="9" s="1"/>
  <c r="F34" i="4"/>
  <c r="H40" i="9" s="1"/>
  <c r="L35" i="4"/>
  <c r="F37" i="4"/>
  <c r="H43" i="9" s="1"/>
  <c r="L38" i="4"/>
  <c r="F40" i="4"/>
  <c r="L41" i="4"/>
  <c r="F43" i="4"/>
  <c r="L44" i="4"/>
  <c r="F46" i="4"/>
  <c r="L47" i="4"/>
  <c r="F49" i="4"/>
  <c r="L50" i="4"/>
  <c r="O35" i="3"/>
  <c r="P14" i="3"/>
  <c r="N23" i="3"/>
  <c r="Q21" i="3"/>
  <c r="O48" i="4"/>
  <c r="O36" i="4"/>
  <c r="K3" i="4"/>
  <c r="F9" i="9" s="1"/>
  <c r="J9" i="9" s="1"/>
  <c r="P13" i="3"/>
  <c r="R21" i="3"/>
  <c r="I14" i="6"/>
  <c r="I20" i="6"/>
  <c r="I26" i="6"/>
  <c r="L15" i="3"/>
  <c r="S15" i="3" s="1"/>
  <c r="E8" i="9"/>
  <c r="N3" i="4"/>
  <c r="O3" i="4" s="1"/>
  <c r="Q5" i="4"/>
  <c r="R8" i="3"/>
  <c r="L8" i="3"/>
  <c r="S8" i="3" s="1"/>
  <c r="D15" i="9"/>
  <c r="E15" i="9"/>
  <c r="Q15" i="4"/>
  <c r="Q22" i="4"/>
  <c r="G28" i="9" s="1"/>
  <c r="Q26" i="4"/>
  <c r="G32" i="9" s="1"/>
  <c r="N29" i="4"/>
  <c r="O29" i="4" s="1"/>
  <c r="N32" i="4"/>
  <c r="O32" i="4" s="1"/>
  <c r="N35" i="4"/>
  <c r="N38" i="4"/>
  <c r="G40" i="4"/>
  <c r="N41" i="4"/>
  <c r="G43" i="4"/>
  <c r="N44" i="4"/>
  <c r="G46" i="4"/>
  <c r="N47" i="4"/>
  <c r="G49" i="4"/>
  <c r="N50" i="4"/>
  <c r="O20" i="3"/>
  <c r="Q15" i="3"/>
  <c r="N24" i="3"/>
  <c r="P21" i="3"/>
  <c r="O47" i="4"/>
  <c r="O35" i="4"/>
  <c r="L4" i="4"/>
  <c r="Q4" i="4"/>
  <c r="G10" i="9" s="1"/>
  <c r="R7" i="3"/>
  <c r="L7" i="3"/>
  <c r="S7" i="3" s="1"/>
  <c r="D16" i="9"/>
  <c r="E16" i="9"/>
  <c r="F23" i="4"/>
  <c r="H29" i="9" s="1"/>
  <c r="L27" i="3"/>
  <c r="S27" i="3" s="1"/>
  <c r="Q29" i="4"/>
  <c r="G35" i="9" s="1"/>
  <c r="L19" i="3"/>
  <c r="S19" i="3" s="1"/>
  <c r="O19" i="3"/>
  <c r="N19" i="3"/>
  <c r="P19" i="3"/>
  <c r="Q19" i="3"/>
  <c r="R19" i="3"/>
  <c r="Q32" i="4"/>
  <c r="G38" i="9" s="1"/>
  <c r="L16" i="3"/>
  <c r="S16" i="3" s="1"/>
  <c r="N16" i="3"/>
  <c r="P16" i="3"/>
  <c r="Q16" i="3"/>
  <c r="R16" i="3"/>
  <c r="O16" i="3"/>
  <c r="Q35" i="4"/>
  <c r="G41" i="9" s="1"/>
  <c r="M38" i="3"/>
  <c r="N38" i="3"/>
  <c r="O38" i="3"/>
  <c r="P38" i="3"/>
  <c r="Q38" i="3"/>
  <c r="R38" i="3"/>
  <c r="Q38" i="4"/>
  <c r="Q41" i="4"/>
  <c r="Q44" i="4"/>
  <c r="Q47" i="4"/>
  <c r="Q50" i="4"/>
  <c r="O21" i="3"/>
  <c r="Q12" i="3"/>
  <c r="N25" i="3"/>
  <c r="Q8" i="3"/>
  <c r="O46" i="4"/>
  <c r="L9" i="3"/>
  <c r="S9" i="3" s="1"/>
  <c r="E14" i="9"/>
  <c r="D14" i="9"/>
  <c r="Q3" i="4"/>
  <c r="G9" i="9" s="1"/>
  <c r="P11" i="3"/>
  <c r="L11" i="3"/>
  <c r="S11" i="3" s="1"/>
  <c r="E12" i="9"/>
  <c r="D12" i="9"/>
  <c r="F24" i="4"/>
  <c r="H30" i="9" s="1"/>
  <c r="R35" i="4"/>
  <c r="R38" i="4"/>
  <c r="R41" i="4"/>
  <c r="R44" i="4"/>
  <c r="R47" i="4"/>
  <c r="R50" i="4"/>
  <c r="O24" i="3"/>
  <c r="Q13" i="3"/>
  <c r="N32" i="3"/>
  <c r="Q24" i="3"/>
  <c r="P8" i="3"/>
  <c r="O45" i="4"/>
  <c r="O15" i="3"/>
  <c r="O25" i="3"/>
  <c r="Q14" i="3"/>
  <c r="N35" i="3"/>
  <c r="P24" i="3"/>
  <c r="Q9" i="3"/>
  <c r="O44" i="4"/>
  <c r="N6" i="3"/>
  <c r="L6" i="3"/>
  <c r="S6" i="3" s="1"/>
  <c r="D17" i="9"/>
  <c r="E17" i="9"/>
  <c r="F7" i="4"/>
  <c r="H13" i="9" s="1"/>
  <c r="L5" i="3"/>
  <c r="S5" i="3" s="1"/>
  <c r="D18" i="9"/>
  <c r="E18" i="9"/>
  <c r="F25" i="4"/>
  <c r="H31" i="9" s="1"/>
  <c r="F28" i="4"/>
  <c r="H34" i="9" s="1"/>
  <c r="N31" i="4"/>
  <c r="O31" i="4" s="1"/>
  <c r="N34" i="4"/>
  <c r="O34" i="4" s="1"/>
  <c r="N37" i="4"/>
  <c r="G39" i="4"/>
  <c r="N40" i="4"/>
  <c r="G42" i="4"/>
  <c r="N43" i="4"/>
  <c r="G45" i="4"/>
  <c r="N46" i="4"/>
  <c r="G48" i="4"/>
  <c r="N49" i="4"/>
  <c r="O12" i="3"/>
  <c r="N15" i="3"/>
  <c r="R15" i="3"/>
  <c r="N5" i="3"/>
  <c r="R25" i="3"/>
  <c r="R10" i="3"/>
  <c r="O43" i="4"/>
  <c r="K7" i="4"/>
  <c r="L10" i="3"/>
  <c r="S10" i="3" s="1"/>
  <c r="E13" i="9"/>
  <c r="D13" i="9"/>
  <c r="Q31" i="4"/>
  <c r="G37" i="9" s="1"/>
  <c r="L17" i="3"/>
  <c r="S17" i="3" s="1"/>
  <c r="O17" i="3"/>
  <c r="N17" i="3"/>
  <c r="P17" i="3"/>
  <c r="Q17" i="3"/>
  <c r="R17" i="3"/>
  <c r="Q34" i="4"/>
  <c r="G40" i="9" s="1"/>
  <c r="L37" i="3"/>
  <c r="S37" i="3" s="1"/>
  <c r="N37" i="3"/>
  <c r="P37" i="3"/>
  <c r="O37" i="3"/>
  <c r="M37" i="3"/>
  <c r="Q37" i="3"/>
  <c r="R37" i="3"/>
  <c r="Q37" i="4"/>
  <c r="G43" i="9" s="1"/>
  <c r="Q40" i="4"/>
  <c r="Q43" i="4"/>
  <c r="Q46" i="4"/>
  <c r="Q49" i="4"/>
  <c r="O13" i="3"/>
  <c r="N12" i="3"/>
  <c r="R12" i="3"/>
  <c r="N9" i="3"/>
  <c r="Q25" i="3"/>
  <c r="Q10" i="3"/>
  <c r="O42" i="4"/>
  <c r="B12" i="1"/>
  <c r="B13" i="1" s="1"/>
  <c r="F3" i="4"/>
  <c r="H9" i="9" s="1"/>
  <c r="N7" i="4"/>
  <c r="O7" i="4" s="1"/>
  <c r="L4" i="3"/>
  <c r="S4" i="3" s="1"/>
  <c r="D19" i="9"/>
  <c r="E19" i="9"/>
  <c r="N18" i="4"/>
  <c r="O18" i="4" s="1"/>
  <c r="K25" i="4"/>
  <c r="F31" i="9" s="1"/>
  <c r="J31" i="9" s="1"/>
  <c r="K30" i="4"/>
  <c r="F36" i="9" s="1"/>
  <c r="J36" i="9" s="1"/>
  <c r="K33" i="4"/>
  <c r="F39" i="9" s="1"/>
  <c r="J39" i="9" s="1"/>
  <c r="K36" i="4"/>
  <c r="F42" i="9" s="1"/>
  <c r="J42" i="9" s="1"/>
  <c r="R37" i="4"/>
  <c r="K39" i="4"/>
  <c r="R40" i="4"/>
  <c r="K42" i="4"/>
  <c r="K45" i="4"/>
  <c r="K48" i="4"/>
  <c r="N13" i="3"/>
  <c r="R13" i="3"/>
  <c r="N10" i="3"/>
  <c r="P25" i="3"/>
  <c r="P10" i="3"/>
  <c r="O41" i="4"/>
  <c r="L14" i="3"/>
  <c r="S14" i="3" s="1"/>
  <c r="D9" i="9"/>
  <c r="E9" i="9"/>
  <c r="F4" i="4"/>
  <c r="H10" i="9" s="1"/>
  <c r="J10" i="9" s="1"/>
  <c r="I18" i="6"/>
  <c r="L12" i="3"/>
  <c r="S12" i="3" s="1"/>
  <c r="D11" i="9"/>
  <c r="E11" i="9"/>
  <c r="Q7" i="4"/>
  <c r="L3" i="3"/>
  <c r="S3" i="3" s="1"/>
  <c r="D20" i="9"/>
  <c r="E20" i="9"/>
  <c r="R31" i="3"/>
  <c r="L31" i="3"/>
  <c r="S31" i="3" s="1"/>
  <c r="N25" i="4"/>
  <c r="O25" i="4" s="1"/>
  <c r="F29" i="4"/>
  <c r="H35" i="9" s="1"/>
  <c r="F32" i="4"/>
  <c r="H38" i="9" s="1"/>
  <c r="F35" i="4"/>
  <c r="H41" i="9" s="1"/>
  <c r="J41" i="9" s="1"/>
  <c r="L36" i="4"/>
  <c r="O5" i="3"/>
  <c r="N14" i="3"/>
  <c r="R14" i="3"/>
  <c r="R20" i="3"/>
  <c r="Q28" i="3"/>
  <c r="Q11" i="3"/>
  <c r="L22" i="3"/>
  <c r="S22" i="3" s="1"/>
  <c r="E34" i="9"/>
  <c r="D34" i="9"/>
  <c r="K28" i="4"/>
  <c r="F34" i="9" s="1"/>
  <c r="J34" i="9" s="1"/>
  <c r="O22" i="3"/>
  <c r="R22" i="3"/>
  <c r="Q22" i="3"/>
  <c r="N28" i="4"/>
  <c r="O28" i="4" s="1"/>
  <c r="P22" i="3"/>
  <c r="R28" i="4"/>
  <c r="O27" i="4"/>
  <c r="P23" i="3"/>
  <c r="R27" i="4"/>
  <c r="F27" i="4"/>
  <c r="O23" i="3"/>
  <c r="L23" i="3"/>
  <c r="S23" i="3" s="1"/>
  <c r="D33" i="9"/>
  <c r="E33" i="9"/>
  <c r="K27" i="4"/>
  <c r="R23" i="3"/>
  <c r="H32" i="9"/>
  <c r="G26" i="4"/>
  <c r="R26" i="4"/>
  <c r="L24" i="3"/>
  <c r="S24" i="3" s="1"/>
  <c r="D32" i="9"/>
  <c r="E32" i="9"/>
  <c r="R24" i="3"/>
  <c r="R25" i="4"/>
  <c r="E31" i="9"/>
  <c r="D31" i="9"/>
  <c r="E30" i="9"/>
  <c r="D30" i="9"/>
  <c r="Q24" i="4"/>
  <c r="G30" i="9" s="1"/>
  <c r="P26" i="3"/>
  <c r="Q26" i="3"/>
  <c r="K24" i="4"/>
  <c r="F30" i="9" s="1"/>
  <c r="J30" i="9" s="1"/>
  <c r="O26" i="3"/>
  <c r="N24" i="4"/>
  <c r="O24" i="4" s="1"/>
  <c r="N26" i="3"/>
  <c r="R26" i="3"/>
  <c r="O27" i="3"/>
  <c r="E29" i="9"/>
  <c r="D29" i="9"/>
  <c r="K23" i="4"/>
  <c r="F29" i="9" s="1"/>
  <c r="J29" i="9" s="1"/>
  <c r="G23" i="4"/>
  <c r="N23" i="4"/>
  <c r="O23" i="4" s="1"/>
  <c r="Q23" i="4"/>
  <c r="G29" i="9" s="1"/>
  <c r="N27" i="3"/>
  <c r="R27" i="3"/>
  <c r="Q27" i="3"/>
  <c r="P27" i="3"/>
  <c r="N22" i="4"/>
  <c r="O22" i="4" s="1"/>
  <c r="F22" i="4"/>
  <c r="O28" i="3"/>
  <c r="E28" i="9"/>
  <c r="D28" i="9"/>
  <c r="N28" i="3"/>
  <c r="P28" i="3"/>
  <c r="Q21" i="4"/>
  <c r="G27" i="9" s="1"/>
  <c r="N21" i="4"/>
  <c r="O21" i="4" s="1"/>
  <c r="N29" i="3"/>
  <c r="Q29" i="3"/>
  <c r="F21" i="4"/>
  <c r="H27" i="9" s="1"/>
  <c r="P29" i="3"/>
  <c r="D27" i="9"/>
  <c r="E27" i="9"/>
  <c r="O29" i="3"/>
  <c r="K21" i="4"/>
  <c r="F27" i="9" s="1"/>
  <c r="E26" i="9"/>
  <c r="D26" i="9"/>
  <c r="N20" i="4"/>
  <c r="O20" i="4" s="1"/>
  <c r="Q30" i="3"/>
  <c r="Q20" i="4"/>
  <c r="G26" i="9" s="1"/>
  <c r="P30" i="3"/>
  <c r="F20" i="4"/>
  <c r="H26" i="9" s="1"/>
  <c r="N30" i="3"/>
  <c r="K20" i="4"/>
  <c r="F26" i="9" s="1"/>
  <c r="O30" i="3"/>
  <c r="R30" i="3"/>
  <c r="Q19" i="4"/>
  <c r="G25" i="9" s="1"/>
  <c r="O31" i="3"/>
  <c r="F19" i="4"/>
  <c r="H25" i="9" s="1"/>
  <c r="N19" i="4"/>
  <c r="O19" i="4" s="1"/>
  <c r="D25" i="9"/>
  <c r="E25" i="9"/>
  <c r="K19" i="4"/>
  <c r="F25" i="9" s="1"/>
  <c r="N31" i="3"/>
  <c r="Q31" i="3"/>
  <c r="P31" i="3"/>
  <c r="D24" i="9"/>
  <c r="E24" i="9"/>
  <c r="Q18" i="4"/>
  <c r="G24" i="9" s="1"/>
  <c r="R32" i="3"/>
  <c r="Q32" i="3"/>
  <c r="L18" i="4"/>
  <c r="G18" i="4"/>
  <c r="E23" i="9"/>
  <c r="D23" i="9"/>
  <c r="K17" i="4"/>
  <c r="F23" i="9" s="1"/>
  <c r="O33" i="3"/>
  <c r="R33" i="3"/>
  <c r="N17" i="4"/>
  <c r="O17" i="4" s="1"/>
  <c r="Q33" i="3"/>
  <c r="Q17" i="4"/>
  <c r="G23" i="9" s="1"/>
  <c r="P33" i="3"/>
  <c r="F17" i="4"/>
  <c r="H23" i="9" s="1"/>
  <c r="N33" i="3"/>
  <c r="D22" i="9"/>
  <c r="E22" i="9"/>
  <c r="R34" i="3"/>
  <c r="B6" i="6"/>
  <c r="E8" i="6" s="1"/>
  <c r="J8" i="6" s="1"/>
  <c r="D2" i="9"/>
  <c r="K16" i="4"/>
  <c r="N34" i="3"/>
  <c r="Q34" i="3"/>
  <c r="O34" i="3"/>
  <c r="P34" i="3"/>
  <c r="N16" i="4"/>
  <c r="O16" i="4" s="1"/>
  <c r="Q16" i="4"/>
  <c r="F16" i="4"/>
  <c r="O15" i="4"/>
  <c r="F15" i="4"/>
  <c r="H21" i="9" s="1"/>
  <c r="P35" i="3"/>
  <c r="K15" i="4"/>
  <c r="Q35" i="3"/>
  <c r="R14" i="4"/>
  <c r="N3" i="3"/>
  <c r="F14" i="4"/>
  <c r="O3" i="3"/>
  <c r="K14" i="4"/>
  <c r="R3" i="3"/>
  <c r="N4" i="3"/>
  <c r="Q4" i="3"/>
  <c r="K13" i="4"/>
  <c r="P4" i="3"/>
  <c r="N13" i="4"/>
  <c r="O13" i="4" s="1"/>
  <c r="Q13" i="4"/>
  <c r="F13" i="4"/>
  <c r="H19" i="9" s="1"/>
  <c r="O4" i="3"/>
  <c r="R4" i="3"/>
  <c r="N12" i="4"/>
  <c r="O12" i="4" s="1"/>
  <c r="R5" i="3"/>
  <c r="Q12" i="4"/>
  <c r="Q5" i="3"/>
  <c r="F12" i="4"/>
  <c r="R6" i="3"/>
  <c r="Q6" i="3"/>
  <c r="N11" i="4"/>
  <c r="O11" i="4" s="1"/>
  <c r="P6" i="3"/>
  <c r="Q11" i="4"/>
  <c r="O6" i="3"/>
  <c r="K11" i="4"/>
  <c r="K10" i="4"/>
  <c r="P7" i="3"/>
  <c r="N7" i="3"/>
  <c r="Q7" i="3"/>
  <c r="N10" i="4"/>
  <c r="O10" i="4" s="1"/>
  <c r="Q10" i="4"/>
  <c r="F10" i="4"/>
  <c r="O7" i="3"/>
  <c r="K9" i="4"/>
  <c r="O8" i="3"/>
  <c r="N9" i="4"/>
  <c r="O9" i="4" s="1"/>
  <c r="N8" i="3"/>
  <c r="B12" i="6"/>
  <c r="Q9" i="4"/>
  <c r="K8" i="4"/>
  <c r="R9" i="3"/>
  <c r="N8" i="4"/>
  <c r="O8" i="4" s="1"/>
  <c r="P9" i="3"/>
  <c r="B11" i="3"/>
  <c r="B13" i="6"/>
  <c r="G7" i="4"/>
  <c r="B19" i="6"/>
  <c r="L6" i="4"/>
  <c r="N6" i="4"/>
  <c r="O6" i="4" s="1"/>
  <c r="O11" i="3"/>
  <c r="F6" i="4"/>
  <c r="Q6" i="4"/>
  <c r="N11" i="3"/>
  <c r="R11" i="3"/>
  <c r="J37" i="9" l="1"/>
  <c r="J43" i="9"/>
  <c r="J32" i="9"/>
  <c r="J38" i="9"/>
  <c r="J40" i="9"/>
  <c r="J11" i="9"/>
  <c r="L12" i="4"/>
  <c r="G5" i="4"/>
  <c r="F8" i="9"/>
  <c r="J8" i="9" s="1"/>
  <c r="G2" i="4"/>
  <c r="C2" i="4" s="1"/>
  <c r="B2" i="4" s="1"/>
  <c r="M15" i="3" s="1"/>
  <c r="L22" i="4"/>
  <c r="G34" i="4"/>
  <c r="R34" i="4"/>
  <c r="L34" i="4"/>
  <c r="L5" i="4"/>
  <c r="R33" i="4"/>
  <c r="L33" i="4"/>
  <c r="G33" i="4"/>
  <c r="G24" i="4"/>
  <c r="G32" i="4"/>
  <c r="L26" i="4"/>
  <c r="G25" i="4"/>
  <c r="G28" i="4"/>
  <c r="R4" i="4"/>
  <c r="L32" i="4"/>
  <c r="R32" i="4"/>
  <c r="G31" i="4"/>
  <c r="R31" i="4"/>
  <c r="L31" i="4"/>
  <c r="L25" i="4"/>
  <c r="R30" i="4"/>
  <c r="L30" i="4"/>
  <c r="G30" i="4"/>
  <c r="E4" i="6"/>
  <c r="J4" i="6" s="1"/>
  <c r="I4" i="6" s="1"/>
  <c r="R29" i="4"/>
  <c r="L29" i="4"/>
  <c r="G29" i="4"/>
  <c r="L9" i="4"/>
  <c r="F15" i="9"/>
  <c r="J15" i="9" s="1"/>
  <c r="R7" i="4"/>
  <c r="G13" i="9"/>
  <c r="L7" i="4"/>
  <c r="F13" i="9"/>
  <c r="J13" i="9" s="1"/>
  <c r="G14" i="4"/>
  <c r="H20" i="9"/>
  <c r="R15" i="4"/>
  <c r="G21" i="9"/>
  <c r="R10" i="4"/>
  <c r="G16" i="9"/>
  <c r="L15" i="4"/>
  <c r="F21" i="9"/>
  <c r="J21" i="9" s="1"/>
  <c r="G12" i="4"/>
  <c r="H18" i="9"/>
  <c r="J18" i="9" s="1"/>
  <c r="L13" i="4"/>
  <c r="F19" i="9"/>
  <c r="J19" i="9" s="1"/>
  <c r="G15" i="4"/>
  <c r="G3" i="4"/>
  <c r="R6" i="4"/>
  <c r="G12" i="9"/>
  <c r="P5" i="9" s="1"/>
  <c r="G6" i="4"/>
  <c r="H12" i="9"/>
  <c r="J12" i="9" s="1"/>
  <c r="R12" i="4"/>
  <c r="G18" i="9"/>
  <c r="P3" i="9" s="1"/>
  <c r="R22" i="4"/>
  <c r="G10" i="4"/>
  <c r="H16" i="9"/>
  <c r="Q4" i="9" s="1"/>
  <c r="L8" i="4"/>
  <c r="F14" i="9"/>
  <c r="R3" i="4"/>
  <c r="G11" i="9"/>
  <c r="R5" i="4"/>
  <c r="L10" i="4"/>
  <c r="F16" i="9"/>
  <c r="J16" i="9" s="1"/>
  <c r="G8" i="4"/>
  <c r="H14" i="9"/>
  <c r="L11" i="4"/>
  <c r="F17" i="9"/>
  <c r="J17" i="9" s="1"/>
  <c r="L14" i="4"/>
  <c r="F20" i="9"/>
  <c r="L3" i="4"/>
  <c r="R11" i="4"/>
  <c r="G17" i="9"/>
  <c r="R13" i="4"/>
  <c r="G19" i="9"/>
  <c r="G13" i="4"/>
  <c r="G17" i="4"/>
  <c r="G4" i="4"/>
  <c r="L28" i="4"/>
  <c r="F33" i="9"/>
  <c r="L27" i="4"/>
  <c r="H33" i="9"/>
  <c r="J33" i="9" s="1"/>
  <c r="G27" i="4"/>
  <c r="R24" i="4"/>
  <c r="L24" i="4"/>
  <c r="L23" i="4"/>
  <c r="R23" i="4"/>
  <c r="H28" i="9"/>
  <c r="J28" i="9" s="1"/>
  <c r="G22" i="4"/>
  <c r="R21" i="4"/>
  <c r="E16" i="6"/>
  <c r="J16" i="6" s="1"/>
  <c r="I16" i="6" s="1"/>
  <c r="L21" i="4"/>
  <c r="J27" i="9"/>
  <c r="G21" i="4"/>
  <c r="R20" i="4"/>
  <c r="L20" i="4"/>
  <c r="J26" i="9"/>
  <c r="G20" i="4"/>
  <c r="R19" i="4"/>
  <c r="L19" i="4"/>
  <c r="J25" i="9"/>
  <c r="G19" i="4"/>
  <c r="R18" i="4"/>
  <c r="D45" i="9"/>
  <c r="E6" i="6"/>
  <c r="J6" i="6" s="1"/>
  <c r="I6" i="6" s="1"/>
  <c r="L17" i="4"/>
  <c r="R17" i="4"/>
  <c r="J23" i="9"/>
  <c r="E10" i="6"/>
  <c r="J10" i="6" s="1"/>
  <c r="I10" i="6" s="1"/>
  <c r="G16" i="4"/>
  <c r="H22" i="9"/>
  <c r="Q2" i="9" s="1"/>
  <c r="L16" i="4"/>
  <c r="F22" i="9"/>
  <c r="R16" i="4"/>
  <c r="G22" i="9"/>
  <c r="B12" i="3"/>
  <c r="P2" i="9"/>
  <c r="P4" i="9"/>
  <c r="Q5" i="9"/>
  <c r="O3" i="9"/>
  <c r="O2" i="9"/>
  <c r="Q6" i="9"/>
  <c r="R9" i="4"/>
  <c r="G15" i="9"/>
  <c r="I8" i="6"/>
  <c r="J14" i="9" l="1"/>
  <c r="J20" i="9"/>
  <c r="B8" i="9"/>
  <c r="B9" i="9" s="1"/>
  <c r="B10" i="9" s="1"/>
  <c r="B11" i="9" s="1"/>
  <c r="B12" i="9" s="1"/>
  <c r="B13" i="9" s="1"/>
  <c r="A9" i="9"/>
  <c r="A10" i="9" s="1"/>
  <c r="A11" i="9" s="1"/>
  <c r="A12" i="9" s="1"/>
  <c r="A13" i="9" s="1"/>
  <c r="A14" i="9" s="1"/>
  <c r="H2" i="4"/>
  <c r="G4" i="6" s="1"/>
  <c r="F5" i="6" s="1"/>
  <c r="C3" i="4"/>
  <c r="B3" i="4" s="1"/>
  <c r="M14" i="3" s="1"/>
  <c r="O5" i="9"/>
  <c r="Q3" i="9"/>
  <c r="P6" i="9"/>
  <c r="O6" i="9"/>
  <c r="B14" i="9"/>
  <c r="B15" i="9" s="1"/>
  <c r="B16" i="9" s="1"/>
  <c r="B17" i="9" s="1"/>
  <c r="B18" i="9" s="1"/>
  <c r="B19" i="9" s="1"/>
  <c r="B20" i="9" s="1"/>
  <c r="B21" i="9" s="1"/>
  <c r="A15" i="9"/>
  <c r="A16" i="9" s="1"/>
  <c r="A17" i="9" s="1"/>
  <c r="A18" i="9" s="1"/>
  <c r="A19" i="9" s="1"/>
  <c r="A20" i="9" s="1"/>
  <c r="A21" i="9" s="1"/>
  <c r="A22" i="9" s="1"/>
  <c r="O4" i="9"/>
  <c r="H45" i="9"/>
  <c r="U4" i="4"/>
  <c r="B17" i="6" s="1"/>
  <c r="T4" i="4"/>
  <c r="B18" i="6" s="1"/>
  <c r="B3" i="6"/>
  <c r="B10" i="6" s="1"/>
  <c r="B9" i="3" s="1"/>
  <c r="J22" i="9"/>
  <c r="F45" i="9"/>
  <c r="G45" i="9"/>
  <c r="B14" i="6"/>
  <c r="F15" i="3" s="1"/>
  <c r="H3" i="4" l="1"/>
  <c r="H4" i="4" s="1"/>
  <c r="C4" i="4"/>
  <c r="B4" i="4" s="1"/>
  <c r="M13" i="3" s="1"/>
  <c r="B16" i="6"/>
  <c r="B14" i="3" s="1"/>
  <c r="B15" i="3"/>
  <c r="B7" i="3"/>
  <c r="B4" i="6"/>
  <c r="B11" i="6" s="1"/>
  <c r="B10" i="3" s="1"/>
  <c r="J45" i="9"/>
  <c r="B22" i="9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45" i="9" s="1"/>
  <c r="A23" i="9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B15" i="6"/>
  <c r="G5" i="6" l="1"/>
  <c r="F6" i="6" s="1"/>
  <c r="C5" i="4"/>
  <c r="B5" i="4" s="1"/>
  <c r="M12" i="3" s="1"/>
  <c r="H5" i="4"/>
  <c r="G6" i="6"/>
  <c r="F7" i="6" s="1"/>
  <c r="B16" i="3"/>
  <c r="D15" i="3" s="1"/>
  <c r="B8" i="3"/>
  <c r="C6" i="4" l="1"/>
  <c r="B6" i="4" s="1"/>
  <c r="M11" i="3" s="1"/>
  <c r="G7" i="6"/>
  <c r="F8" i="6" s="1"/>
  <c r="H6" i="4"/>
  <c r="B17" i="3"/>
  <c r="B18" i="3" s="1"/>
  <c r="G15" i="3" s="1"/>
  <c r="C7" i="4" l="1"/>
  <c r="B7" i="4" s="1"/>
  <c r="M10" i="3" s="1"/>
  <c r="G8" i="6"/>
  <c r="F9" i="6" s="1"/>
  <c r="H7" i="4"/>
  <c r="E15" i="3"/>
  <c r="C8" i="4" l="1"/>
  <c r="B8" i="4" s="1"/>
  <c r="M9" i="3" s="1"/>
  <c r="H8" i="4"/>
  <c r="G9" i="6"/>
  <c r="F10" i="6" s="1"/>
  <c r="C9" i="4" l="1"/>
  <c r="B9" i="4" s="1"/>
  <c r="M8" i="3" s="1"/>
  <c r="H9" i="4"/>
  <c r="G10" i="6"/>
  <c r="F11" i="6" s="1"/>
  <c r="C10" i="4" l="1"/>
  <c r="B10" i="4" s="1"/>
  <c r="M7" i="3" s="1"/>
  <c r="G11" i="6"/>
  <c r="F12" i="6" s="1"/>
  <c r="H10" i="4"/>
  <c r="C11" i="4" l="1"/>
  <c r="B11" i="4" s="1"/>
  <c r="M6" i="3" s="1"/>
  <c r="H11" i="4"/>
  <c r="G12" i="6"/>
  <c r="F13" i="6" s="1"/>
  <c r="C12" i="4" l="1"/>
  <c r="B12" i="4" s="1"/>
  <c r="M5" i="3" s="1"/>
  <c r="H12" i="4"/>
  <c r="G13" i="6"/>
  <c r="F14" i="6" s="1"/>
  <c r="C13" i="4" l="1"/>
  <c r="B13" i="4" s="1"/>
  <c r="M4" i="3" s="1"/>
  <c r="H13" i="4"/>
  <c r="G14" i="6"/>
  <c r="F15" i="6" s="1"/>
  <c r="C14" i="4" l="1"/>
  <c r="B14" i="4" s="1"/>
  <c r="M3" i="3" s="1"/>
  <c r="G15" i="6"/>
  <c r="F16" i="6" s="1"/>
  <c r="H14" i="4"/>
  <c r="C15" i="4" l="1"/>
  <c r="B15" i="4" s="1"/>
  <c r="M35" i="3"/>
  <c r="G16" i="6"/>
  <c r="F17" i="6" s="1"/>
  <c r="H15" i="4"/>
  <c r="C16" i="4" l="1"/>
  <c r="B16" i="4" s="1"/>
  <c r="H16" i="4"/>
  <c r="G17" i="6"/>
  <c r="F18" i="6" s="1"/>
  <c r="M34" i="3"/>
  <c r="C17" i="4" l="1"/>
  <c r="B17" i="4" s="1"/>
  <c r="M33" i="3"/>
  <c r="H17" i="4"/>
  <c r="G18" i="6"/>
  <c r="F19" i="6" s="1"/>
  <c r="C18" i="4" l="1"/>
  <c r="B18" i="4" s="1"/>
  <c r="H18" i="4"/>
  <c r="G19" i="6"/>
  <c r="F20" i="6" s="1"/>
  <c r="M32" i="3"/>
  <c r="C19" i="4" l="1"/>
  <c r="B19" i="4" s="1"/>
  <c r="M31" i="3"/>
  <c r="H19" i="4"/>
  <c r="G20" i="6"/>
  <c r="F21" i="6" s="1"/>
  <c r="C20" i="4" l="1"/>
  <c r="B20" i="4" s="1"/>
  <c r="G21" i="6"/>
  <c r="F22" i="6" s="1"/>
  <c r="H20" i="4"/>
  <c r="M30" i="3"/>
  <c r="C21" i="4" l="1"/>
  <c r="B21" i="4" s="1"/>
  <c r="M29" i="3"/>
  <c r="G22" i="6"/>
  <c r="F23" i="6" s="1"/>
  <c r="H21" i="4"/>
  <c r="C22" i="4" l="1"/>
  <c r="B22" i="4" s="1"/>
  <c r="H22" i="4"/>
  <c r="G23" i="6"/>
  <c r="F24" i="6" s="1"/>
  <c r="M28" i="3"/>
  <c r="C23" i="4" l="1"/>
  <c r="B23" i="4" s="1"/>
  <c r="M27" i="3"/>
  <c r="H23" i="4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B9" i="6" s="1"/>
  <c r="B13" i="3" s="1"/>
  <c r="G24" i="6"/>
  <c r="F25" i="6" s="1"/>
  <c r="G25" i="6" s="1"/>
  <c r="F26" i="6" s="1"/>
  <c r="G26" i="6" s="1"/>
  <c r="F27" i="6" s="1"/>
  <c r="G27" i="6" s="1"/>
  <c r="F28" i="6" s="1"/>
  <c r="G28" i="6" s="1"/>
  <c r="F29" i="6" s="1"/>
  <c r="G29" i="6" s="1"/>
  <c r="F30" i="6" s="1"/>
  <c r="G30" i="6" s="1"/>
  <c r="F31" i="6" s="1"/>
  <c r="G31" i="6" s="1"/>
  <c r="F32" i="6" s="1"/>
  <c r="G32" i="6" s="1"/>
  <c r="F33" i="6" s="1"/>
  <c r="G33" i="6" s="1"/>
  <c r="F34" i="6" s="1"/>
  <c r="G34" i="6" s="1"/>
  <c r="F35" i="6" s="1"/>
  <c r="G35" i="6" s="1"/>
  <c r="F36" i="6" s="1"/>
  <c r="G36" i="6" s="1"/>
  <c r="F37" i="6" s="1"/>
  <c r="G37" i="6" s="1"/>
  <c r="F38" i="6" s="1"/>
  <c r="G38" i="6" s="1"/>
  <c r="F39" i="6" s="1"/>
  <c r="G39" i="6" s="1"/>
  <c r="F40" i="6" s="1"/>
  <c r="G40" i="6" s="1"/>
  <c r="F41" i="6" s="1"/>
  <c r="G41" i="6" s="1"/>
  <c r="C24" i="4" l="1"/>
  <c r="B24" i="4" s="1"/>
  <c r="M26" i="3"/>
  <c r="C25" i="4" l="1"/>
  <c r="B25" i="4" s="1"/>
  <c r="M25" i="3"/>
  <c r="C26" i="4" l="1"/>
  <c r="B26" i="4" s="1"/>
  <c r="M24" i="3"/>
  <c r="C27" i="4" l="1"/>
  <c r="B27" i="4" s="1"/>
  <c r="C28" i="4"/>
  <c r="B28" i="4" s="1"/>
  <c r="M23" i="3"/>
  <c r="M22" i="3" l="1"/>
  <c r="C29" i="4"/>
  <c r="B29" i="4" s="1"/>
  <c r="M21" i="3" s="1"/>
  <c r="C30" i="4" l="1"/>
  <c r="B30" i="4" s="1"/>
  <c r="M20" i="3" s="1"/>
  <c r="C31" i="4" l="1"/>
  <c r="B31" i="4" s="1"/>
  <c r="M19" i="3" s="1"/>
  <c r="C32" i="4" l="1"/>
  <c r="B32" i="4" s="1"/>
  <c r="M18" i="3" s="1"/>
  <c r="C33" i="4" l="1"/>
  <c r="B33" i="4" s="1"/>
  <c r="M17" i="3" s="1"/>
  <c r="C34" i="4" l="1"/>
  <c r="B34" i="4" s="1"/>
  <c r="C35" i="4" l="1"/>
  <c r="B35" i="4" s="1"/>
  <c r="C36" i="4" l="1"/>
  <c r="B36" i="4" s="1"/>
  <c r="C37" i="4" l="1"/>
  <c r="B37" i="4" s="1"/>
  <c r="C38" i="4" l="1"/>
  <c r="B38" i="4" s="1"/>
  <c r="C39" i="4" l="1"/>
  <c r="B39" i="4" s="1"/>
  <c r="C40" i="4" l="1"/>
  <c r="B40" i="4" s="1"/>
  <c r="C41" i="4" l="1"/>
  <c r="B41" i="4" s="1"/>
  <c r="C42" i="4" l="1"/>
  <c r="B42" i="4" s="1"/>
  <c r="C43" i="4" l="1"/>
  <c r="B43" i="4" s="1"/>
  <c r="C44" i="4" l="1"/>
  <c r="B44" i="4" s="1"/>
  <c r="C45" i="4" l="1"/>
  <c r="B45" i="4" s="1"/>
  <c r="C46" i="4" l="1"/>
  <c r="B46" i="4" s="1"/>
  <c r="C47" i="4" l="1"/>
  <c r="B47" i="4" s="1"/>
  <c r="C48" i="4" l="1"/>
  <c r="B48" i="4" s="1"/>
  <c r="C49" i="4" l="1"/>
  <c r="B49" i="4" s="1"/>
  <c r="C50" i="4" l="1"/>
  <c r="B50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<sst xmlns="http://schemas.openxmlformats.org/spreadsheetml/2006/main" count="174" uniqueCount="151">
  <si>
    <t>Race Duration (Hours)</t>
  </si>
  <si>
    <t>Required Pitstops</t>
  </si>
  <si>
    <t>Minimum Stint Time (Minutes)</t>
  </si>
  <si>
    <t>Maximum Stint Time (Minutes)</t>
  </si>
  <si>
    <t>Stint #</t>
  </si>
  <si>
    <t>Stint raw value</t>
  </si>
  <si>
    <t>Stint in minutes</t>
  </si>
  <si>
    <t>Stint in seconds</t>
  </si>
  <si>
    <t>Helper</t>
  </si>
  <si>
    <t>Last stint duration (mm:ss)</t>
  </si>
  <si>
    <t>Remaining Time</t>
  </si>
  <si>
    <t>Race Duration Remaining</t>
  </si>
  <si>
    <t>Extra Stint Time</t>
  </si>
  <si>
    <t>Required Stops Remaining</t>
  </si>
  <si>
    <t>Pit Lane Closed Start of Race (Minutes)</t>
  </si>
  <si>
    <t>Pit Lane Closed End of Race (Minutes)</t>
  </si>
  <si>
    <t>Remaining Time until Pitlane Closes</t>
  </si>
  <si>
    <t>Strategy Calculation</t>
  </si>
  <si>
    <t>Time Margin</t>
  </si>
  <si>
    <t>Total Race Duration</t>
  </si>
  <si>
    <t>Race Duration Remaining w Pitlane Open</t>
  </si>
  <si>
    <t>Required Stints Remaining</t>
  </si>
  <si>
    <t>Average Stint</t>
  </si>
  <si>
    <t>Time Margin Initial</t>
  </si>
  <si>
    <t>Stint Duration</t>
  </si>
  <si>
    <t>Current Time Margin</t>
  </si>
  <si>
    <t>Time Margin Start of stint</t>
  </si>
  <si>
    <t>Time Margin End of stint</t>
  </si>
  <si>
    <t>Flag</t>
  </si>
  <si>
    <t>Joker Stints Available</t>
  </si>
  <si>
    <t>Full Stints</t>
  </si>
  <si>
    <t>Extra Stint Required</t>
  </si>
  <si>
    <t>Race Duration Remaining (Hours)</t>
  </si>
  <si>
    <t>Race Duration Remaining w Pitlane Open (Hours)</t>
  </si>
  <si>
    <t>Regular Stints Required</t>
  </si>
  <si>
    <t>Stints List</t>
  </si>
  <si>
    <t>Pitstop (mm:ss)</t>
  </si>
  <si>
    <t>Pitstop</t>
  </si>
  <si>
    <t>Pitstop seconds</t>
  </si>
  <si>
    <t>Pitstop minutes</t>
  </si>
  <si>
    <t>Relais Moyen Futur</t>
  </si>
  <si>
    <t>Futur Stints Average</t>
  </si>
  <si>
    <t>Temps au Pit</t>
  </si>
  <si>
    <t>Temps Relais</t>
  </si>
  <si>
    <t>Relais Effectués</t>
  </si>
  <si>
    <t>Faisabilté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</si>
  <si>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</si>
  <si>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</si>
  <si>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</si>
  <si>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</si>
  <si>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</si>
  <si>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</si>
  <si>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</si>
  <si>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</si>
  <si>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</si>
  <si>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</si>
  <si>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Relais Long</t>
  </si>
  <si>
    <t>Relais Court</t>
  </si>
  <si>
    <t>Temps moyen Relais Court</t>
  </si>
  <si>
    <t>Remaining Time in Minutes</t>
  </si>
  <si>
    <t>Pitstop Fix</t>
  </si>
  <si>
    <t>Relais Long Max Restants</t>
  </si>
  <si>
    <t>Relais Joker Restants</t>
  </si>
  <si>
    <t>Relais Joker Moyen</t>
  </si>
  <si>
    <t>Pilotes</t>
  </si>
  <si>
    <t>Pilote 1</t>
  </si>
  <si>
    <t>Pilote 2</t>
  </si>
  <si>
    <t>Pilote 3</t>
  </si>
  <si>
    <t>Pilote 4</t>
  </si>
  <si>
    <t>Pit In</t>
  </si>
  <si>
    <t>Pit Out</t>
  </si>
  <si>
    <t>Pit In (mm:ss)</t>
  </si>
  <si>
    <t>Pit Out (mm:ss)</t>
  </si>
  <si>
    <t>Chrono</t>
  </si>
  <si>
    <t>Chrono 2</t>
  </si>
  <si>
    <t>Pit In Seconds</t>
  </si>
  <si>
    <t>Pit In Minutes</t>
  </si>
  <si>
    <t>Pit Out Seconds</t>
  </si>
  <si>
    <t>Pit Out Minutes</t>
  </si>
  <si>
    <t>Total général</t>
  </si>
  <si>
    <t>Stints</t>
  </si>
  <si>
    <t>Temps Relais Min</t>
  </si>
  <si>
    <t>Temps Relais Max</t>
  </si>
  <si>
    <t>Temps Relais Moyen</t>
  </si>
  <si>
    <t>Nombre de Pit In Minutes</t>
  </si>
  <si>
    <t>Nombre de Pit Out Minutes</t>
  </si>
  <si>
    <t>Moyenne de Pitstop minutes</t>
  </si>
  <si>
    <t>Somme de Pitstop</t>
  </si>
  <si>
    <t>Pit</t>
  </si>
  <si>
    <t>Pilote</t>
  </si>
  <si>
    <t>Time Remaining</t>
  </si>
  <si>
    <t>Temps Roulage</t>
  </si>
  <si>
    <t>NB Relais</t>
  </si>
  <si>
    <t>Nombre de participants:</t>
  </si>
  <si>
    <t>Bonus durée (selon heures de course):</t>
  </si>
  <si>
    <t>Tableau des résultats</t>
  </si>
  <si>
    <t>Position</t>
  </si>
  <si>
    <t>Points Formula (Excel)</t>
  </si>
  <si>
    <t>Durée course</t>
  </si>
  <si>
    <t>Temps course</t>
  </si>
  <si>
    <t>PIT</t>
  </si>
  <si>
    <t>PIT rest</t>
  </si>
  <si>
    <t>Temps/ Pilote Réel</t>
  </si>
  <si>
    <t>STINT</t>
  </si>
  <si>
    <t>TIME REST</t>
  </si>
  <si>
    <t>BEST LAP</t>
  </si>
  <si>
    <t>WORST LAP</t>
  </si>
  <si>
    <t>TIME PIT moy</t>
  </si>
  <si>
    <t>PIT OUT moy</t>
  </si>
  <si>
    <t xml:space="preserve"> TIME STINT moy</t>
  </si>
  <si>
    <t>numéro kart</t>
  </si>
  <si>
    <t>START POS</t>
  </si>
  <si>
    <t>?</t>
  </si>
  <si>
    <t>LEST</t>
  </si>
  <si>
    <t>HOUR
(Start stint)</t>
  </si>
  <si>
    <t>TIME RACE
(End Stint)</t>
  </si>
  <si>
    <t>DRIVER</t>
  </si>
  <si>
    <t>TIME PIT</t>
  </si>
  <si>
    <t>PIT OUT</t>
  </si>
  <si>
    <t>TIME STINT</t>
  </si>
  <si>
    <t>TIME STINT              + TIME PIT</t>
  </si>
  <si>
    <t>POS° in/out</t>
  </si>
  <si>
    <t>POSITION EQUIPE / NB PIT</t>
  </si>
  <si>
    <t>ECART</t>
  </si>
  <si>
    <t>OBS</t>
  </si>
  <si>
    <t>POIDS</t>
  </si>
  <si>
    <t>LEST SUP</t>
  </si>
  <si>
    <t>END</t>
  </si>
  <si>
    <t>FINISH</t>
  </si>
  <si>
    <t>TIME PIT Total</t>
  </si>
  <si>
    <t>PIT OUT Total</t>
  </si>
  <si>
    <t>STINT Total</t>
  </si>
  <si>
    <t>TIME STINT + PIT</t>
  </si>
  <si>
    <t>TEMPS TOTAL</t>
  </si>
  <si>
    <t>POS°</t>
  </si>
  <si>
    <t>ECARTS</t>
  </si>
  <si>
    <t>EVENEMENTS</t>
  </si>
  <si>
    <t>OBSERVATION</t>
  </si>
  <si>
    <t>1ST STINT MAX TIME</t>
  </si>
  <si>
    <t>STINT MAX TIME</t>
  </si>
  <si>
    <t>Pilote 5</t>
  </si>
  <si>
    <t>Irr Stint Req</t>
  </si>
  <si>
    <t>Temps Roulage Min/Pilote</t>
  </si>
  <si>
    <t>Avg Jok Stint Time</t>
  </si>
  <si>
    <t>TempsMin Restants</t>
  </si>
  <si>
    <t>TempsMax Restants</t>
  </si>
  <si>
    <t>Temps Roulage Max/Pilote</t>
  </si>
  <si>
    <t>Sort</t>
  </si>
  <si>
    <t>Lucas</t>
  </si>
  <si>
    <t>Remi</t>
  </si>
  <si>
    <t>Fabio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</si>
</sst>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"/>
    <numFmt numFmtId="165" formatCode="#,##0.0"/>
    <numFmt numFmtId="166" formatCode="hh:mm:ss.000"/>
    <numFmt numFmtId="167" formatCode="[h]:mm:ss;@"/>
    <numFmt numFmtId="168" formatCode="m:ss.000"/>
    <numFmt numFmtId="169" formatCode="mm:ss.000"/>
    <numFmt numFmtId="170" formatCode="h:mm;@"/>
    <numFmt numFmtId="171" formatCode="###.0&quot;kg&quot;"/>
    <numFmt numFmtId="172" formatCode="##.#&quot;kg&quot;"/>
    <numFmt numFmtId="173" formatCode="[$-F400]h:mm:ss\ AM/PM"/>
    <numFmt numFmtId="174" formatCode="[m]:ss"/>
  </numFmts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charset val="161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10" fillId="0" borderId="0"/>
    <xf numFmtId="0" fontId="8" fillId="0" borderId="0"/>
  </cellStyleXfs>
  <cellXfs count="173">
    <xf numFmtId="0" fontId="0" fillId="0" borderId="0" xfId="0"/>
    <xf numFmtId="0" fontId="5" fillId="2" borderId="0" xfId="0" applyFont="1" applyFill="1"/>
    <xf numFmtId="49" fontId="5" fillId="2" borderId="0" xfId="0" applyNumberFormat="1" applyFont="1" applyFill="1"/>
    <xf numFmtId="0" fontId="5" fillId="0" borderId="0" xfId="0" applyFont="1"/>
    <xf numFmtId="49" fontId="5" fillId="0" borderId="1" xfId="0" applyNumberFormat="1" applyFont="1" applyBorder="1"/>
    <xf numFmtId="49" fontId="5" fillId="0" borderId="0" xfId="0" applyNumberFormat="1" applyFont="1"/>
    <xf numFmtId="0" fontId="2" fillId="0" borderId="1" xfId="0" applyFont="1" applyBorder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right" wrapText="1"/>
    </xf>
    <xf numFmtId="0" fontId="5" fillId="0" borderId="1" xfId="0" applyFont="1" applyBorder="1"/>
    <xf numFmtId="49" fontId="5" fillId="0" borderId="0" xfId="0" applyNumberFormat="1" applyFont="1" applyAlignment="1">
      <alignment horizontal="right"/>
    </xf>
    <xf numFmtId="0" fontId="0" fillId="3" borderId="0" xfId="0" applyFill="1"/>
    <xf numFmtId="49" fontId="0" fillId="3" borderId="0" xfId="0" applyNumberFormat="1" applyFill="1"/>
    <xf numFmtId="0" fontId="3" fillId="3" borderId="1" xfId="0" applyFont="1" applyFill="1" applyBorder="1" applyAlignment="1">
      <alignment horizontal="center" vertical="center" wrapText="1"/>
    </xf>
    <xf numFmtId="0" fontId="4" fillId="3" borderId="0" xfId="0" applyFont="1" applyFill="1"/>
    <xf numFmtId="0" fontId="7" fillId="3" borderId="1" xfId="0" applyFont="1" applyFill="1" applyBorder="1"/>
    <xf numFmtId="0" fontId="2" fillId="4" borderId="1" xfId="0" applyFont="1" applyFill="1" applyBorder="1"/>
    <xf numFmtId="0" fontId="2" fillId="4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/>
    </xf>
    <xf numFmtId="0" fontId="0" fillId="4" borderId="0" xfId="0" applyFill="1"/>
    <xf numFmtId="49" fontId="2" fillId="4" borderId="1" xfId="0" applyNumberFormat="1" applyFont="1" applyFill="1" applyBorder="1"/>
    <xf numFmtId="0" fontId="2" fillId="3" borderId="0" xfId="0" applyFont="1" applyFill="1"/>
    <xf numFmtId="49" fontId="2" fillId="3" borderId="0" xfId="0" applyNumberFormat="1" applyFont="1" applyFill="1"/>
    <xf numFmtId="0" fontId="2" fillId="5" borderId="2" xfId="0" applyFont="1" applyFill="1" applyBorder="1" applyAlignment="1">
      <alignment horizontal="center"/>
    </xf>
    <xf numFmtId="0" fontId="6" fillId="0" borderId="0" xfId="0" applyFont="1"/>
    <xf numFmtId="0" fontId="2" fillId="4" borderId="1" xfId="0" applyFont="1" applyFill="1" applyBorder="1" applyAlignment="1">
      <alignment horizontal="center" vertical="center"/>
    </xf>
    <xf numFmtId="20" fontId="2" fillId="0" borderId="1" xfId="0" applyNumberFormat="1" applyFont="1" applyBorder="1"/>
    <xf numFmtId="0" fontId="2" fillId="3" borderId="1" xfId="0" applyFont="1" applyFill="1" applyBorder="1" applyAlignment="1">
      <alignment horizontal="left" vertical="center"/>
    </xf>
    <xf numFmtId="0" fontId="2" fillId="3" borderId="1" xfId="0" applyFont="1" applyFill="1" applyBorder="1"/>
    <xf numFmtId="49" fontId="2" fillId="3" borderId="1" xfId="0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65" fontId="0" fillId="0" borderId="0" xfId="0" applyNumberFormat="1"/>
    <xf numFmtId="0" fontId="5" fillId="6" borderId="0" xfId="0" applyFont="1" applyFill="1"/>
    <xf numFmtId="0" fontId="2" fillId="4" borderId="3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  <xf numFmtId="20" fontId="2" fillId="3" borderId="0" xfId="0" applyNumberFormat="1" applyFont="1" applyFill="1"/>
    <xf numFmtId="20" fontId="2" fillId="4" borderId="1" xfId="0" applyNumberFormat="1" applyFont="1" applyFill="1" applyBorder="1"/>
    <xf numFmtId="0" fontId="2" fillId="5" borderId="1" xfId="0" applyFont="1" applyFill="1" applyBorder="1"/>
    <xf numFmtId="0" fontId="10" fillId="0" borderId="0" xfId="1"/>
    <xf numFmtId="0" fontId="2" fillId="0" borderId="1" xfId="1" applyFont="1" applyBorder="1" applyAlignment="1">
      <alignment horizontal="center" vertical="top"/>
    </xf>
    <xf numFmtId="0" fontId="13" fillId="0" borderId="2" xfId="2" applyFont="1" applyBorder="1" applyAlignment="1">
      <alignment horizontal="center" vertical="center"/>
    </xf>
    <xf numFmtId="1" fontId="11" fillId="8" borderId="2" xfId="2" applyNumberFormat="1" applyFont="1" applyFill="1" applyBorder="1" applyAlignment="1">
      <alignment horizontal="center" vertical="center"/>
    </xf>
    <xf numFmtId="1" fontId="14" fillId="8" borderId="2" xfId="2" applyNumberFormat="1" applyFont="1" applyFill="1" applyBorder="1" applyAlignment="1">
      <alignment horizontal="center" vertical="center" wrapText="1"/>
    </xf>
    <xf numFmtId="0" fontId="13" fillId="6" borderId="9" xfId="2" applyFont="1" applyFill="1" applyBorder="1" applyAlignment="1">
      <alignment horizontal="center" vertical="center"/>
    </xf>
    <xf numFmtId="0" fontId="14" fillId="12" borderId="9" xfId="2" applyFont="1" applyFill="1" applyBorder="1" applyAlignment="1">
      <alignment horizontal="left" vertical="center" wrapText="1"/>
    </xf>
    <xf numFmtId="0" fontId="11" fillId="11" borderId="3" xfId="2" applyFont="1" applyFill="1" applyBorder="1" applyAlignment="1">
      <alignment horizontal="center" vertical="center" wrapText="1"/>
    </xf>
    <xf numFmtId="0" fontId="13" fillId="0" borderId="10" xfId="2" applyFont="1" applyBorder="1" applyAlignment="1">
      <alignment horizontal="center" vertical="center"/>
    </xf>
    <xf numFmtId="166" fontId="11" fillId="8" borderId="11" xfId="2" applyNumberFormat="1" applyFont="1" applyFill="1" applyBorder="1" applyAlignment="1">
      <alignment horizontal="center" vertical="center"/>
    </xf>
    <xf numFmtId="0" fontId="11" fillId="8" borderId="2" xfId="2" applyFont="1" applyFill="1" applyBorder="1" applyAlignment="1">
      <alignment horizontal="center" vertical="center" wrapText="1"/>
    </xf>
    <xf numFmtId="0" fontId="8" fillId="0" borderId="0" xfId="2" applyAlignment="1">
      <alignment horizontal="center" vertical="center"/>
    </xf>
    <xf numFmtId="0" fontId="8" fillId="0" borderId="0" xfId="2"/>
    <xf numFmtId="1" fontId="11" fillId="13" borderId="1" xfId="2" applyNumberFormat="1" applyFont="1" applyFill="1" applyBorder="1" applyAlignment="1">
      <alignment horizontal="center" vertical="center"/>
    </xf>
    <xf numFmtId="1" fontId="6" fillId="13" borderId="13" xfId="2" applyNumberFormat="1" applyFont="1" applyFill="1" applyBorder="1" applyAlignment="1">
      <alignment horizontal="center" vertical="center"/>
    </xf>
    <xf numFmtId="47" fontId="13" fillId="9" borderId="1" xfId="2" applyNumberFormat="1" applyFont="1" applyFill="1" applyBorder="1" applyAlignment="1">
      <alignment horizontal="center" vertical="center"/>
    </xf>
    <xf numFmtId="168" fontId="13" fillId="9" borderId="1" xfId="2" applyNumberFormat="1" applyFont="1" applyFill="1" applyBorder="1" applyAlignment="1">
      <alignment horizontal="center" vertical="center"/>
    </xf>
    <xf numFmtId="169" fontId="8" fillId="0" borderId="5" xfId="2" applyNumberFormat="1" applyBorder="1" applyAlignment="1">
      <alignment horizontal="center" vertical="center"/>
    </xf>
    <xf numFmtId="169" fontId="8" fillId="0" borderId="1" xfId="2" applyNumberFormat="1" applyBorder="1" applyAlignment="1">
      <alignment horizontal="center" vertical="center"/>
    </xf>
    <xf numFmtId="0" fontId="13" fillId="0" borderId="14" xfId="2" applyFont="1" applyBorder="1" applyAlignment="1">
      <alignment horizontal="center" vertical="center"/>
    </xf>
    <xf numFmtId="0" fontId="11" fillId="13" borderId="15" xfId="2" applyFont="1" applyFill="1" applyBorder="1" applyAlignment="1">
      <alignment horizontal="center" vertical="center"/>
    </xf>
    <xf numFmtId="49" fontId="16" fillId="10" borderId="1" xfId="2" applyNumberFormat="1" applyFont="1" applyFill="1" applyBorder="1" applyAlignment="1">
      <alignment horizontal="center" vertical="center"/>
    </xf>
    <xf numFmtId="0" fontId="13" fillId="10" borderId="1" xfId="2" applyFont="1" applyFill="1" applyBorder="1" applyAlignment="1">
      <alignment horizontal="center" vertical="center"/>
    </xf>
    <xf numFmtId="166" fontId="8" fillId="0" borderId="0" xfId="2" applyNumberFormat="1"/>
    <xf numFmtId="1" fontId="17" fillId="0" borderId="2" xfId="2" applyNumberFormat="1" applyFont="1" applyBorder="1" applyAlignment="1">
      <alignment horizontal="center" vertical="center" wrapText="1"/>
    </xf>
    <xf numFmtId="1" fontId="16" fillId="11" borderId="11" xfId="2" applyNumberFormat="1" applyFont="1" applyFill="1" applyBorder="1" applyAlignment="1">
      <alignment horizontal="center" vertical="center"/>
    </xf>
    <xf numFmtId="49" fontId="16" fillId="11" borderId="1" xfId="2" applyNumberFormat="1" applyFont="1" applyFill="1" applyBorder="1" applyAlignment="1">
      <alignment horizontal="center" vertical="center"/>
    </xf>
    <xf numFmtId="0" fontId="13" fillId="11" borderId="1" xfId="2" applyFont="1" applyFill="1" applyBorder="1" applyAlignment="1">
      <alignment horizontal="center" vertical="center"/>
    </xf>
    <xf numFmtId="49" fontId="16" fillId="7" borderId="1" xfId="2" applyNumberFormat="1" applyFont="1" applyFill="1" applyBorder="1" applyAlignment="1">
      <alignment horizontal="center" vertical="center"/>
    </xf>
    <xf numFmtId="0" fontId="13" fillId="7" borderId="1" xfId="2" applyFont="1" applyFill="1" applyBorder="1" applyAlignment="1">
      <alignment horizontal="center" vertical="center"/>
    </xf>
    <xf numFmtId="47" fontId="13" fillId="6" borderId="1" xfId="2" applyNumberFormat="1" applyFont="1" applyFill="1" applyBorder="1" applyAlignment="1">
      <alignment horizontal="center" vertical="center"/>
    </xf>
    <xf numFmtId="168" fontId="13" fillId="6" borderId="1" xfId="2" applyNumberFormat="1" applyFont="1" applyFill="1" applyBorder="1" applyAlignment="1">
      <alignment horizontal="center" vertical="center"/>
    </xf>
    <xf numFmtId="0" fontId="11" fillId="8" borderId="1" xfId="2" applyFont="1" applyFill="1" applyBorder="1" applyAlignment="1">
      <alignment horizontal="center" vertical="center" wrapText="1"/>
    </xf>
    <xf numFmtId="1" fontId="11" fillId="8" borderId="1" xfId="2" applyNumberFormat="1" applyFont="1" applyFill="1" applyBorder="1" applyAlignment="1">
      <alignment horizontal="center" vertical="center" wrapText="1"/>
    </xf>
    <xf numFmtId="0" fontId="11" fillId="8" borderId="1" xfId="2" applyFont="1" applyFill="1" applyBorder="1" applyAlignment="1">
      <alignment horizontal="center" vertical="center"/>
    </xf>
    <xf numFmtId="0" fontId="6" fillId="8" borderId="1" xfId="2" applyFont="1" applyFill="1" applyBorder="1" applyAlignment="1">
      <alignment horizontal="center" vertical="center" wrapText="1"/>
    </xf>
    <xf numFmtId="0" fontId="20" fillId="8" borderId="1" xfId="2" applyFont="1" applyFill="1" applyBorder="1" applyAlignment="1">
      <alignment horizontal="center" vertical="center" wrapText="1"/>
    </xf>
    <xf numFmtId="1" fontId="11" fillId="8" borderId="2" xfId="2" applyNumberFormat="1" applyFont="1" applyFill="1" applyBorder="1" applyAlignment="1">
      <alignment horizontal="center" vertical="center" wrapText="1"/>
    </xf>
    <xf numFmtId="166" fontId="11" fillId="8" borderId="2" xfId="2" applyNumberFormat="1" applyFont="1" applyFill="1" applyBorder="1" applyAlignment="1">
      <alignment horizontal="center" vertical="center"/>
    </xf>
    <xf numFmtId="173" fontId="11" fillId="13" borderId="1" xfId="2" applyNumberFormat="1" applyFont="1" applyFill="1" applyBorder="1" applyAlignment="1">
      <alignment horizontal="center" vertical="center"/>
    </xf>
    <xf numFmtId="0" fontId="11" fillId="13" borderId="1" xfId="2" applyFont="1" applyFill="1" applyBorder="1" applyAlignment="1">
      <alignment horizontal="center" vertical="center"/>
    </xf>
    <xf numFmtId="1" fontId="4" fillId="13" borderId="1" xfId="2" applyNumberFormat="1" applyFont="1" applyFill="1" applyBorder="1" applyAlignment="1">
      <alignment horizontal="center" vertical="center"/>
    </xf>
    <xf numFmtId="0" fontId="16" fillId="6" borderId="1" xfId="2" applyFont="1" applyFill="1" applyBorder="1" applyAlignment="1">
      <alignment horizontal="center" vertical="center"/>
    </xf>
    <xf numFmtId="169" fontId="21" fillId="0" borderId="1" xfId="2" applyNumberFormat="1" applyFont="1" applyBorder="1" applyAlignment="1">
      <alignment horizontal="center" vertical="center"/>
    </xf>
    <xf numFmtId="166" fontId="22" fillId="13" borderId="1" xfId="2" applyNumberFormat="1" applyFont="1" applyFill="1" applyBorder="1" applyAlignment="1">
      <alignment horizontal="center" vertical="center"/>
    </xf>
    <xf numFmtId="166" fontId="6" fillId="13" borderId="1" xfId="2" applyNumberFormat="1" applyFont="1" applyFill="1" applyBorder="1" applyAlignment="1">
      <alignment horizontal="center" vertical="center"/>
    </xf>
    <xf numFmtId="164" fontId="8" fillId="0" borderId="1" xfId="2" applyNumberFormat="1" applyBorder="1" applyAlignment="1">
      <alignment horizontal="center" vertical="center"/>
    </xf>
    <xf numFmtId="2" fontId="8" fillId="0" borderId="1" xfId="2" applyNumberFormat="1" applyBorder="1" applyAlignment="1">
      <alignment horizontal="center" vertical="center"/>
    </xf>
    <xf numFmtId="1" fontId="16" fillId="6" borderId="1" xfId="2" applyNumberFormat="1" applyFont="1" applyFill="1" applyBorder="1" applyAlignment="1">
      <alignment horizontal="center" vertical="center"/>
    </xf>
    <xf numFmtId="164" fontId="21" fillId="0" borderId="1" xfId="2" applyNumberFormat="1" applyFont="1" applyBorder="1" applyAlignment="1">
      <alignment horizontal="center" vertical="center"/>
    </xf>
    <xf numFmtId="0" fontId="21" fillId="0" borderId="0" xfId="2" applyFont="1"/>
    <xf numFmtId="49" fontId="16" fillId="0" borderId="1" xfId="2" applyNumberFormat="1" applyFont="1" applyBorder="1" applyAlignment="1">
      <alignment horizontal="center" vertical="center"/>
    </xf>
    <xf numFmtId="49" fontId="8" fillId="0" borderId="1" xfId="2" applyNumberFormat="1" applyBorder="1" applyAlignment="1">
      <alignment horizontal="center" vertical="center"/>
    </xf>
    <xf numFmtId="49" fontId="21" fillId="0" borderId="1" xfId="2" applyNumberFormat="1" applyFont="1" applyBorder="1" applyAlignment="1">
      <alignment vertical="center"/>
    </xf>
    <xf numFmtId="49" fontId="8" fillId="0" borderId="1" xfId="2" applyNumberFormat="1" applyBorder="1" applyAlignment="1">
      <alignment vertical="center"/>
    </xf>
    <xf numFmtId="0" fontId="14" fillId="8" borderId="1" xfId="2" applyFont="1" applyFill="1" applyBorder="1" applyAlignment="1">
      <alignment horizontal="center" vertical="center" wrapText="1"/>
    </xf>
    <xf numFmtId="0" fontId="8" fillId="0" borderId="1" xfId="2" applyBorder="1" applyAlignment="1">
      <alignment horizontal="center" vertical="center"/>
    </xf>
    <xf numFmtId="166" fontId="21" fillId="0" borderId="1" xfId="2" applyNumberFormat="1" applyFont="1" applyBorder="1" applyAlignment="1">
      <alignment horizontal="center" vertical="center"/>
    </xf>
    <xf numFmtId="1" fontId="18" fillId="0" borderId="1" xfId="2" applyNumberFormat="1" applyFont="1" applyBorder="1" applyAlignment="1">
      <alignment horizontal="center" vertical="center"/>
    </xf>
    <xf numFmtId="49" fontId="13" fillId="0" borderId="1" xfId="2" applyNumberFormat="1" applyFont="1" applyBorder="1" applyAlignment="1">
      <alignment horizontal="center"/>
    </xf>
    <xf numFmtId="49" fontId="13" fillId="0" borderId="1" xfId="2" applyNumberFormat="1" applyFont="1" applyBorder="1"/>
    <xf numFmtId="49" fontId="13" fillId="0" borderId="1" xfId="2" applyNumberFormat="1" applyFont="1" applyBorder="1" applyAlignment="1">
      <alignment horizontal="center" vertical="center"/>
    </xf>
    <xf numFmtId="0" fontId="23" fillId="0" borderId="0" xfId="2" applyFont="1"/>
    <xf numFmtId="0" fontId="13" fillId="0" borderId="6" xfId="2" applyFont="1" applyBorder="1" applyAlignment="1">
      <alignment horizontal="center" vertical="center"/>
    </xf>
    <xf numFmtId="1" fontId="8" fillId="0" borderId="0" xfId="2" applyNumberFormat="1"/>
    <xf numFmtId="0" fontId="8" fillId="0" borderId="0" xfId="2" applyAlignment="1">
      <alignment horizontal="center"/>
    </xf>
    <xf numFmtId="166" fontId="8" fillId="0" borderId="1" xfId="2" applyNumberFormat="1" applyBorder="1" applyAlignment="1">
      <alignment horizontal="center" vertical="center"/>
    </xf>
    <xf numFmtId="166" fontId="11" fillId="8" borderId="21" xfId="2" applyNumberFormat="1" applyFont="1" applyFill="1" applyBorder="1" applyAlignment="1">
      <alignment horizontal="center" vertical="center"/>
    </xf>
    <xf numFmtId="1" fontId="8" fillId="0" borderId="0" xfId="2" applyNumberFormat="1" applyAlignment="1">
      <alignment horizontal="center" vertical="center"/>
    </xf>
    <xf numFmtId="20" fontId="13" fillId="9" borderId="7" xfId="2" applyNumberFormat="1" applyFont="1" applyFill="1" applyBorder="1" applyAlignment="1">
      <alignment horizontal="center" vertical="center"/>
    </xf>
    <xf numFmtId="20" fontId="13" fillId="10" borderId="8" xfId="2" applyNumberFormat="1" applyFont="1" applyFill="1" applyBorder="1" applyAlignment="1">
      <alignment horizontal="center" vertical="center"/>
    </xf>
    <xf numFmtId="20" fontId="13" fillId="11" borderId="8" xfId="2" applyNumberFormat="1" applyFont="1" applyFill="1" applyBorder="1" applyAlignment="1">
      <alignment horizontal="center" vertical="center"/>
    </xf>
    <xf numFmtId="20" fontId="13" fillId="7" borderId="2" xfId="2" applyNumberFormat="1" applyFont="1" applyFill="1" applyBorder="1" applyAlignment="1">
      <alignment horizontal="center" vertical="center"/>
    </xf>
    <xf numFmtId="1" fontId="17" fillId="3" borderId="20" xfId="2" applyNumberFormat="1" applyFont="1" applyFill="1" applyBorder="1" applyAlignment="1">
      <alignment horizontal="center" vertical="center" wrapText="1"/>
    </xf>
    <xf numFmtId="164" fontId="8" fillId="3" borderId="20" xfId="2" applyNumberFormat="1" applyFill="1" applyBorder="1" applyAlignment="1">
      <alignment horizontal="center" vertical="center"/>
    </xf>
    <xf numFmtId="1" fontId="19" fillId="3" borderId="20" xfId="2" applyNumberFormat="1" applyFont="1" applyFill="1" applyBorder="1" applyAlignment="1">
      <alignment horizontal="center" vertical="center"/>
    </xf>
    <xf numFmtId="0" fontId="24" fillId="3" borderId="5" xfId="2" applyFont="1" applyFill="1" applyBorder="1" applyAlignment="1">
      <alignment horizontal="center" vertical="center"/>
    </xf>
    <xf numFmtId="171" fontId="24" fillId="3" borderId="13" xfId="2" applyNumberFormat="1" applyFont="1" applyFill="1" applyBorder="1" applyAlignment="1">
      <alignment horizontal="center" vertical="center"/>
    </xf>
    <xf numFmtId="171" fontId="25" fillId="3" borderId="20" xfId="2" applyNumberFormat="1" applyFont="1" applyFill="1" applyBorder="1" applyAlignment="1">
      <alignment horizontal="center" vertical="center"/>
    </xf>
    <xf numFmtId="171" fontId="26" fillId="3" borderId="20" xfId="2" applyNumberFormat="1" applyFont="1" applyFill="1" applyBorder="1" applyAlignment="1">
      <alignment horizontal="center" vertical="center"/>
    </xf>
    <xf numFmtId="0" fontId="27" fillId="3" borderId="5" xfId="2" applyFont="1" applyFill="1" applyBorder="1" applyAlignment="1">
      <alignment horizontal="center" vertical="center" wrapText="1"/>
    </xf>
    <xf numFmtId="171" fontId="26" fillId="3" borderId="13" xfId="2" applyNumberFormat="1" applyFont="1" applyFill="1" applyBorder="1" applyAlignment="1">
      <alignment horizontal="center" vertical="center"/>
    </xf>
    <xf numFmtId="171" fontId="12" fillId="3" borderId="20" xfId="2" applyNumberFormat="1" applyFont="1" applyFill="1" applyBorder="1" applyAlignment="1">
      <alignment horizontal="center" vertical="center"/>
    </xf>
    <xf numFmtId="0" fontId="24" fillId="3" borderId="3" xfId="2" applyFont="1" applyFill="1" applyBorder="1" applyAlignment="1">
      <alignment horizontal="center" vertical="center" wrapText="1"/>
    </xf>
    <xf numFmtId="172" fontId="24" fillId="3" borderId="12" xfId="2" applyNumberFormat="1" applyFont="1" applyFill="1" applyBorder="1" applyAlignment="1">
      <alignment horizontal="center" vertical="center" wrapText="1"/>
    </xf>
    <xf numFmtId="169" fontId="13" fillId="3" borderId="17" xfId="2" applyNumberFormat="1" applyFont="1" applyFill="1" applyBorder="1" applyAlignment="1">
      <alignment horizontal="center" vertical="center"/>
    </xf>
    <xf numFmtId="169" fontId="13" fillId="3" borderId="18" xfId="2" applyNumberFormat="1" applyFont="1" applyFill="1" applyBorder="1" applyAlignment="1">
      <alignment horizontal="center" vertical="center"/>
    </xf>
    <xf numFmtId="169" fontId="13" fillId="3" borderId="19" xfId="2" applyNumberFormat="1" applyFont="1" applyFill="1" applyBorder="1" applyAlignment="1">
      <alignment horizontal="center" vertical="center"/>
    </xf>
    <xf numFmtId="169" fontId="15" fillId="3" borderId="20" xfId="2" applyNumberFormat="1" applyFont="1" applyFill="1" applyBorder="1" applyAlignment="1">
      <alignment horizontal="center" vertical="center"/>
    </xf>
    <xf numFmtId="0" fontId="15" fillId="13" borderId="12" xfId="2" applyFont="1" applyFill="1" applyBorder="1" applyAlignment="1">
      <alignment horizontal="center" vertical="center"/>
    </xf>
    <xf numFmtId="0" fontId="15" fillId="14" borderId="11" xfId="2" applyFont="1" applyFill="1" applyBorder="1" applyAlignment="1">
      <alignment horizontal="center" vertical="center"/>
    </xf>
    <xf numFmtId="0" fontId="6" fillId="3" borderId="1" xfId="2" applyFont="1" applyFill="1" applyBorder="1" applyAlignment="1">
      <alignment horizontal="center" vertical="center" wrapText="1"/>
    </xf>
    <xf numFmtId="166" fontId="21" fillId="3" borderId="1" xfId="2" applyNumberFormat="1" applyFont="1" applyFill="1" applyBorder="1" applyAlignment="1">
      <alignment horizontal="center" vertical="center"/>
    </xf>
    <xf numFmtId="166" fontId="6" fillId="3" borderId="1" xfId="2" applyNumberFormat="1" applyFont="1" applyFill="1" applyBorder="1" applyAlignment="1">
      <alignment horizontal="center" vertical="center"/>
    </xf>
    <xf numFmtId="46" fontId="22" fillId="13" borderId="1" xfId="2" applyNumberFormat="1" applyFont="1" applyFill="1" applyBorder="1" applyAlignment="1">
      <alignment horizontal="center" vertical="center"/>
    </xf>
    <xf numFmtId="167" fontId="22" fillId="13" borderId="1" xfId="2" applyNumberFormat="1" applyFont="1" applyFill="1" applyBorder="1" applyAlignment="1">
      <alignment horizontal="center" vertical="center"/>
    </xf>
    <xf numFmtId="174" fontId="21" fillId="0" borderId="1" xfId="2" quotePrefix="1" applyNumberFormat="1" applyFont="1" applyBorder="1" applyAlignment="1">
      <alignment horizontal="center" vertical="center"/>
    </xf>
    <xf numFmtId="49" fontId="16" fillId="6" borderId="1" xfId="2" applyNumberFormat="1" applyFont="1" applyFill="1" applyBorder="1" applyAlignment="1">
      <alignment horizontal="center" vertical="center"/>
    </xf>
    <xf numFmtId="49" fontId="8" fillId="6" borderId="1" xfId="2" applyNumberFormat="1" applyFill="1" applyBorder="1" applyAlignment="1">
      <alignment horizontal="center" vertical="center"/>
    </xf>
    <xf numFmtId="49" fontId="8" fillId="6" borderId="1" xfId="2" applyNumberFormat="1" applyFill="1" applyBorder="1" applyAlignment="1">
      <alignment vertical="center"/>
    </xf>
    <xf numFmtId="49" fontId="21" fillId="6" borderId="1" xfId="2" applyNumberFormat="1" applyFont="1" applyFill="1" applyBorder="1" applyAlignment="1">
      <alignment vertical="center"/>
    </xf>
    <xf numFmtId="49" fontId="8" fillId="6" borderId="1" xfId="2" applyNumberFormat="1" applyFill="1" applyBorder="1" applyAlignment="1">
      <alignment horizontal="left" vertical="center"/>
    </xf>
    <xf numFmtId="49" fontId="12" fillId="6" borderId="1" xfId="2" applyNumberFormat="1" applyFont="1" applyFill="1" applyBorder="1" applyAlignment="1">
      <alignment vertical="center"/>
    </xf>
    <xf numFmtId="46" fontId="2" fillId="4" borderId="1" xfId="0" applyNumberFormat="1" applyFont="1" applyFill="1" applyBorder="1"/>
    <xf numFmtId="46" fontId="2" fillId="3" borderId="1" xfId="0" applyNumberFormat="1" applyFont="1" applyFill="1" applyBorder="1"/>
    <xf numFmtId="0" fontId="2" fillId="3" borderId="3" xfId="0" applyFont="1" applyFill="1" applyBorder="1"/>
    <xf numFmtId="0" fontId="2" fillId="4" borderId="3" xfId="0" applyFont="1" applyFill="1" applyBorder="1"/>
    <xf numFmtId="0" fontId="2" fillId="4" borderId="2" xfId="0" applyFont="1" applyFill="1" applyBorder="1"/>
    <xf numFmtId="0" fontId="2" fillId="4" borderId="6" xfId="0" applyFont="1" applyFill="1" applyBorder="1"/>
    <xf numFmtId="0" fontId="2" fillId="4" borderId="11" xfId="0" applyFont="1" applyFill="1" applyBorder="1"/>
    <xf numFmtId="0" fontId="2" fillId="4" borderId="24" xfId="0" applyFont="1" applyFill="1" applyBorder="1"/>
    <xf numFmtId="1" fontId="5" fillId="0" borderId="0" xfId="0" applyNumberFormat="1" applyFont="1"/>
    <xf numFmtId="1" fontId="2" fillId="4" borderId="22" xfId="0" applyNumberFormat="1" applyFont="1" applyFill="1" applyBorder="1"/>
    <xf numFmtId="1" fontId="2" fillId="4" borderId="5" xfId="0" applyNumberFormat="1" applyFont="1" applyFill="1" applyBorder="1"/>
    <xf numFmtId="1" fontId="2" fillId="4" borderId="23" xfId="0" applyNumberFormat="1" applyFont="1" applyFill="1" applyBorder="1"/>
    <xf numFmtId="1" fontId="2" fillId="3" borderId="0" xfId="0" applyNumberFormat="1" applyFont="1" applyFill="1"/>
    <xf numFmtId="1" fontId="2" fillId="3" borderId="23" xfId="0" applyNumberFormat="1" applyFont="1" applyFill="1" applyBorder="1"/>
    <xf numFmtId="0" fontId="2" fillId="3" borderId="11" xfId="0" applyFont="1" applyFill="1" applyBorder="1"/>
    <xf numFmtId="0" fontId="2" fillId="3" borderId="24" xfId="0" applyFont="1" applyFill="1" applyBorder="1"/>
    <xf numFmtId="168" fontId="21" fillId="0" borderId="1" xfId="2" applyNumberFormat="1" applyFont="1" applyBorder="1" applyAlignment="1">
      <alignment horizontal="center" vertic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170" fontId="11" fillId="3" borderId="3" xfId="2" applyNumberFormat="1" applyFont="1" applyFill="1" applyBorder="1" applyAlignment="1">
      <alignment horizontal="center" vertical="center"/>
    </xf>
    <xf numFmtId="170" fontId="11" fillId="3" borderId="16" xfId="2" applyNumberFormat="1" applyFont="1" applyFill="1" applyBorder="1" applyAlignment="1">
      <alignment horizontal="center" vertical="center"/>
    </xf>
    <xf numFmtId="0" fontId="8" fillId="0" borderId="3" xfId="2" applyBorder="1" applyAlignment="1">
      <alignment horizontal="center" vertical="center"/>
    </xf>
    <xf numFmtId="0" fontId="8" fillId="0" borderId="5" xfId="2" applyBorder="1" applyAlignment="1">
      <alignment horizontal="center" vertical="center"/>
    </xf>
    <xf numFmtId="0" fontId="8" fillId="0" borderId="1" xfId="2" applyBorder="1" applyAlignment="1">
      <alignment horizontal="center" vertical="center"/>
    </xf>
  </cellXfs>
  <cellStyles count="3">
    <cellStyle name="Normal" xfId="0" builtinId="0"/>
    <cellStyle name="Normal 2" xfId="1" xr:uid="{5E02D9A5-2764-4BA2-A345-75305A16096F}"/>
    <cellStyle name="Normal 3" xfId="2" xr:uid="{CCCC13AD-DAD1-4DBC-9AB5-3B0AFAB6A884}"/>
  </cellStyles>
  <dxfs count="54"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5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0" tint="-0.34998626667073579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ont>
        <b/>
        <i val="0"/>
        <strike val="0"/>
        <outline val="0"/>
        <shadow val="0"/>
        <u val="none"/>
        <vertAlign val="baseline"/>
        <sz val="12"/>
      </font>
    </dxf>
    <dxf>
      <font>
        <b/>
        <i val="0"/>
        <strike val="0"/>
        <outline val="0"/>
        <shadow val="0"/>
        <u val="none"/>
        <vertAlign val="baseline"/>
        <sz val="12"/>
      </font>
    </dxf>
    <dxf>
      <font>
        <b/>
        <i val="0"/>
        <strike val="0"/>
        <outline val="0"/>
        <shadow val="0"/>
        <u val="none"/>
        <vertAlign val="baseline"/>
        <sz val="12"/>
      </font>
    </dxf>
    <dxf>
      <font>
        <b/>
        <i val="0"/>
        <strike val="0"/>
        <outline val="0"/>
        <shadow val="0"/>
        <u val="none"/>
        <vertAlign val="baseline"/>
        <sz val="12"/>
      </font>
    </dxf>
    <dxf>
      <font>
        <b/>
        <i val="0"/>
        <strike val="0"/>
        <outline val="0"/>
        <shadow val="0"/>
        <u val="none"/>
        <vertAlign val="baseline"/>
        <sz val="12"/>
      </font>
    </dxf>
    <dxf>
      <font>
        <b/>
        <i val="0"/>
        <strike val="0"/>
        <outline val="0"/>
        <shadow val="0"/>
        <u val="none"/>
        <vertAlign val="baseline"/>
        <sz val="12"/>
      </font>
    </dxf>
    <dxf>
      <font>
        <b/>
        <i val="0"/>
        <strike val="0"/>
        <outline val="0"/>
        <shadow val="0"/>
        <u val="none"/>
        <vertAlign val="baseline"/>
        <sz val="12"/>
      </font>
    </dxf>
    <dxf>
      <font>
        <b/>
        <i val="0"/>
        <strike val="0"/>
        <outline val="0"/>
        <shadow val="0"/>
        <u val="none"/>
        <vertAlign val="baseline"/>
        <sz val="12"/>
      </font>
    </dxf>
    <dxf>
      <font>
        <b/>
        <i val="0"/>
        <strike val="0"/>
        <outline val="0"/>
        <shadow val="0"/>
        <u val="none"/>
        <vertAlign val="baseline"/>
        <sz val="12"/>
      </font>
    </dxf>
    <dxf>
      <font>
        <b/>
        <i val="0"/>
        <strike val="0"/>
        <outline val="0"/>
        <shadow val="0"/>
        <u val="none"/>
        <vertAlign val="baseline"/>
        <sz val="12"/>
      </font>
    </dxf>
    <dxf>
      <font>
        <b/>
        <i val="0"/>
        <strike val="0"/>
        <outline val="0"/>
        <shadow val="0"/>
        <u val="none"/>
        <vertAlign val="baseline"/>
        <sz val="12"/>
      </font>
    </dxf>
    <dxf>
      <font>
        <b/>
        <i val="0"/>
        <strike val="0"/>
        <outline val="0"/>
        <shadow val="0"/>
        <u val="none"/>
        <vertAlign val="baseline"/>
        <sz val="1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4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customXml" Target="../ink/ink24.xml"/><Relationship Id="rId21" Type="http://schemas.openxmlformats.org/officeDocument/2006/relationships/customXml" Target="../ink/ink19.xml"/><Relationship Id="rId42" Type="http://schemas.openxmlformats.org/officeDocument/2006/relationships/customXml" Target="../ink/ink40.xml"/><Relationship Id="rId47" Type="http://schemas.openxmlformats.org/officeDocument/2006/relationships/customXml" Target="../ink/ink45.xml"/><Relationship Id="rId63" Type="http://schemas.openxmlformats.org/officeDocument/2006/relationships/customXml" Target="../ink/ink61.xml"/><Relationship Id="rId68" Type="http://schemas.openxmlformats.org/officeDocument/2006/relationships/customXml" Target="../ink/ink66.xml"/><Relationship Id="rId16" Type="http://schemas.openxmlformats.org/officeDocument/2006/relationships/customXml" Target="../ink/ink14.xml"/><Relationship Id="rId11" Type="http://schemas.openxmlformats.org/officeDocument/2006/relationships/customXml" Target="../ink/ink9.xml"/><Relationship Id="rId24" Type="http://schemas.openxmlformats.org/officeDocument/2006/relationships/customXml" Target="../ink/ink22.xml"/><Relationship Id="rId32" Type="http://schemas.openxmlformats.org/officeDocument/2006/relationships/customXml" Target="../ink/ink30.xml"/><Relationship Id="rId37" Type="http://schemas.openxmlformats.org/officeDocument/2006/relationships/customXml" Target="../ink/ink35.xml"/><Relationship Id="rId40" Type="http://schemas.openxmlformats.org/officeDocument/2006/relationships/customXml" Target="../ink/ink38.xml"/><Relationship Id="rId45" Type="http://schemas.openxmlformats.org/officeDocument/2006/relationships/customXml" Target="../ink/ink43.xml"/><Relationship Id="rId53" Type="http://schemas.openxmlformats.org/officeDocument/2006/relationships/customXml" Target="../ink/ink51.xml"/><Relationship Id="rId58" Type="http://schemas.openxmlformats.org/officeDocument/2006/relationships/customXml" Target="../ink/ink56.xml"/><Relationship Id="rId66" Type="http://schemas.openxmlformats.org/officeDocument/2006/relationships/customXml" Target="../ink/ink64.xml"/><Relationship Id="rId74" Type="http://schemas.openxmlformats.org/officeDocument/2006/relationships/customXml" Target="../ink/ink72.xml"/><Relationship Id="rId5" Type="http://schemas.openxmlformats.org/officeDocument/2006/relationships/customXml" Target="../ink/ink4.xml"/><Relationship Id="rId61" Type="http://schemas.openxmlformats.org/officeDocument/2006/relationships/customXml" Target="../ink/ink59.xml"/><Relationship Id="rId19" Type="http://schemas.openxmlformats.org/officeDocument/2006/relationships/customXml" Target="../ink/ink17.xml"/><Relationship Id="rId14" Type="http://schemas.openxmlformats.org/officeDocument/2006/relationships/customXml" Target="../ink/ink12.xml"/><Relationship Id="rId22" Type="http://schemas.openxmlformats.org/officeDocument/2006/relationships/customXml" Target="../ink/ink20.xml"/><Relationship Id="rId27" Type="http://schemas.openxmlformats.org/officeDocument/2006/relationships/customXml" Target="../ink/ink25.xml"/><Relationship Id="rId30" Type="http://schemas.openxmlformats.org/officeDocument/2006/relationships/customXml" Target="../ink/ink28.xml"/><Relationship Id="rId35" Type="http://schemas.openxmlformats.org/officeDocument/2006/relationships/customXml" Target="../ink/ink33.xml"/><Relationship Id="rId43" Type="http://schemas.openxmlformats.org/officeDocument/2006/relationships/customXml" Target="../ink/ink41.xml"/><Relationship Id="rId48" Type="http://schemas.openxmlformats.org/officeDocument/2006/relationships/customXml" Target="../ink/ink46.xml"/><Relationship Id="rId56" Type="http://schemas.openxmlformats.org/officeDocument/2006/relationships/customXml" Target="../ink/ink54.xml"/><Relationship Id="rId64" Type="http://schemas.openxmlformats.org/officeDocument/2006/relationships/customXml" Target="../ink/ink62.xml"/><Relationship Id="rId69" Type="http://schemas.openxmlformats.org/officeDocument/2006/relationships/customXml" Target="../ink/ink67.xml"/><Relationship Id="rId77" Type="http://schemas.openxmlformats.org/officeDocument/2006/relationships/customXml" Target="../ink/ink75.xml"/><Relationship Id="rId8" Type="http://schemas.openxmlformats.org/officeDocument/2006/relationships/customXml" Target="../ink/ink6.xml"/><Relationship Id="rId51" Type="http://schemas.openxmlformats.org/officeDocument/2006/relationships/customXml" Target="../ink/ink49.xml"/><Relationship Id="rId72" Type="http://schemas.openxmlformats.org/officeDocument/2006/relationships/customXml" Target="../ink/ink70.xml"/><Relationship Id="rId3" Type="http://schemas.openxmlformats.org/officeDocument/2006/relationships/customXml" Target="../ink/ink2.xml"/><Relationship Id="rId12" Type="http://schemas.openxmlformats.org/officeDocument/2006/relationships/customXml" Target="../ink/ink10.xml"/><Relationship Id="rId17" Type="http://schemas.openxmlformats.org/officeDocument/2006/relationships/customXml" Target="../ink/ink15.xml"/><Relationship Id="rId25" Type="http://schemas.openxmlformats.org/officeDocument/2006/relationships/customXml" Target="../ink/ink23.xml"/><Relationship Id="rId33" Type="http://schemas.openxmlformats.org/officeDocument/2006/relationships/customXml" Target="../ink/ink31.xml"/><Relationship Id="rId38" Type="http://schemas.openxmlformats.org/officeDocument/2006/relationships/customXml" Target="../ink/ink36.xml"/><Relationship Id="rId46" Type="http://schemas.openxmlformats.org/officeDocument/2006/relationships/customXml" Target="../ink/ink44.xml"/><Relationship Id="rId59" Type="http://schemas.openxmlformats.org/officeDocument/2006/relationships/customXml" Target="../ink/ink57.xml"/><Relationship Id="rId67" Type="http://schemas.openxmlformats.org/officeDocument/2006/relationships/customXml" Target="../ink/ink65.xml"/><Relationship Id="rId20" Type="http://schemas.openxmlformats.org/officeDocument/2006/relationships/customXml" Target="../ink/ink18.xml"/><Relationship Id="rId41" Type="http://schemas.openxmlformats.org/officeDocument/2006/relationships/customXml" Target="../ink/ink39.xml"/><Relationship Id="rId54" Type="http://schemas.openxmlformats.org/officeDocument/2006/relationships/customXml" Target="../ink/ink52.xml"/><Relationship Id="rId62" Type="http://schemas.openxmlformats.org/officeDocument/2006/relationships/customXml" Target="../ink/ink60.xml"/><Relationship Id="rId70" Type="http://schemas.openxmlformats.org/officeDocument/2006/relationships/customXml" Target="../ink/ink68.xml"/><Relationship Id="rId75" Type="http://schemas.openxmlformats.org/officeDocument/2006/relationships/customXml" Target="../ink/ink73.xml"/><Relationship Id="rId1" Type="http://schemas.openxmlformats.org/officeDocument/2006/relationships/customXml" Target="../ink/ink1.xml"/><Relationship Id="rId6" Type="http://schemas.openxmlformats.org/officeDocument/2006/relationships/customXml" Target="../ink/ink5.xml"/><Relationship Id="rId15" Type="http://schemas.openxmlformats.org/officeDocument/2006/relationships/customXml" Target="../ink/ink13.xml"/><Relationship Id="rId23" Type="http://schemas.openxmlformats.org/officeDocument/2006/relationships/customXml" Target="../ink/ink21.xml"/><Relationship Id="rId28" Type="http://schemas.openxmlformats.org/officeDocument/2006/relationships/customXml" Target="../ink/ink26.xml"/><Relationship Id="rId36" Type="http://schemas.openxmlformats.org/officeDocument/2006/relationships/customXml" Target="../ink/ink34.xml"/><Relationship Id="rId49" Type="http://schemas.openxmlformats.org/officeDocument/2006/relationships/customXml" Target="../ink/ink47.xml"/><Relationship Id="rId57" Type="http://schemas.openxmlformats.org/officeDocument/2006/relationships/customXml" Target="../ink/ink55.xml"/><Relationship Id="rId10" Type="http://schemas.openxmlformats.org/officeDocument/2006/relationships/customXml" Target="../ink/ink8.xml"/><Relationship Id="rId31" Type="http://schemas.openxmlformats.org/officeDocument/2006/relationships/customXml" Target="../ink/ink29.xml"/><Relationship Id="rId44" Type="http://schemas.openxmlformats.org/officeDocument/2006/relationships/customXml" Target="../ink/ink42.xml"/><Relationship Id="rId52" Type="http://schemas.openxmlformats.org/officeDocument/2006/relationships/customXml" Target="../ink/ink50.xml"/><Relationship Id="rId60" Type="http://schemas.openxmlformats.org/officeDocument/2006/relationships/customXml" Target="../ink/ink58.xml"/><Relationship Id="rId65" Type="http://schemas.openxmlformats.org/officeDocument/2006/relationships/customXml" Target="../ink/ink63.xml"/><Relationship Id="rId73" Type="http://schemas.openxmlformats.org/officeDocument/2006/relationships/customXml" Target="../ink/ink71.xml"/><Relationship Id="rId78" Type="http://schemas.openxmlformats.org/officeDocument/2006/relationships/customXml" Target="../ink/ink76.xml"/><Relationship Id="rId4" Type="http://schemas.openxmlformats.org/officeDocument/2006/relationships/customXml" Target="../ink/ink3.xml"/><Relationship Id="rId9" Type="http://schemas.openxmlformats.org/officeDocument/2006/relationships/customXml" Target="../ink/ink7.xml"/><Relationship Id="rId13" Type="http://schemas.openxmlformats.org/officeDocument/2006/relationships/customXml" Target="../ink/ink11.xml"/><Relationship Id="rId18" Type="http://schemas.openxmlformats.org/officeDocument/2006/relationships/customXml" Target="../ink/ink16.xml"/><Relationship Id="rId39" Type="http://schemas.openxmlformats.org/officeDocument/2006/relationships/customXml" Target="../ink/ink37.xml"/><Relationship Id="rId34" Type="http://schemas.openxmlformats.org/officeDocument/2006/relationships/customXml" Target="../ink/ink32.xml"/><Relationship Id="rId50" Type="http://schemas.openxmlformats.org/officeDocument/2006/relationships/customXml" Target="../ink/ink48.xml"/><Relationship Id="rId55" Type="http://schemas.openxmlformats.org/officeDocument/2006/relationships/customXml" Target="../ink/ink53.xml"/><Relationship Id="rId76" Type="http://schemas.openxmlformats.org/officeDocument/2006/relationships/customXml" Target="../ink/ink74.xml"/><Relationship Id="rId7" Type="http://schemas.openxmlformats.org/officeDocument/2006/relationships/image" Target="../media/image2.png"/><Relationship Id="rId71" Type="http://schemas.openxmlformats.org/officeDocument/2006/relationships/customXml" Target="../ink/ink69.xml"/><Relationship Id="rId2" Type="http://schemas.openxmlformats.org/officeDocument/2006/relationships/image" Target="../media/image1.png"/><Relationship Id="rId29" Type="http://schemas.openxmlformats.org/officeDocument/2006/relationships/customXml" Target="../ink/ink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76200</xdr:rowOff>
        </xdr:from>
        <xdr:to>
          <xdr:col>8</xdr:col>
          <xdr:colOff>123825</xdr:colOff>
          <xdr:row>3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219075</xdr:colOff>
      <xdr:row>1</xdr:row>
      <xdr:rowOff>57150</xdr:rowOff>
    </xdr:from>
    <xdr:to>
      <xdr:col>14</xdr:col>
      <xdr:colOff>333375</xdr:colOff>
      <xdr:row>7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496175" y="247650"/>
          <a:ext cx="3162300" cy="1200150"/>
        </a:xfrm>
        <a:prstGeom prst="rect">
          <a:avLst/>
        </a:prstGeom>
        <a:solidFill>
          <a:schemeClr val="accent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chemeClr val="bg1"/>
              </a:solidFill>
            </a:rPr>
            <a:t>Only</a:t>
          </a:r>
          <a:r>
            <a:rPr lang="en-GB" sz="1100" baseline="0">
              <a:solidFill>
                <a:schemeClr val="bg1"/>
              </a:solidFill>
            </a:rPr>
            <a:t> press the "Reset Sheet" button when the race is over, because it will delete all data you have input.</a:t>
          </a:r>
        </a:p>
        <a:p>
          <a:endParaRPr lang="en-GB" sz="1100" baseline="0">
            <a:solidFill>
              <a:schemeClr val="bg1"/>
            </a:solidFill>
          </a:endParaRPr>
        </a:p>
        <a:p>
          <a:r>
            <a:rPr lang="en-GB" sz="1100" baseline="0">
              <a:solidFill>
                <a:schemeClr val="bg1"/>
              </a:solidFill>
            </a:rPr>
            <a:t>If you made a mistake in any of the race information you can just edit the relevant cell.</a:t>
          </a:r>
          <a:endParaRPr lang="en-GB" sz="11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0</xdr:row>
          <xdr:rowOff>9525</xdr:rowOff>
        </xdr:from>
        <xdr:to>
          <xdr:col>4</xdr:col>
          <xdr:colOff>571500</xdr:colOff>
          <xdr:row>6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Stint Duration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2613975</xdr:colOff>
      <xdr:row>8</xdr:row>
      <xdr:rowOff>15510</xdr:rowOff>
    </xdr:from>
    <xdr:to>
      <xdr:col>15</xdr:col>
      <xdr:colOff>11385</xdr:colOff>
      <xdr:row>8</xdr:row>
      <xdr:rowOff>15870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Encre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14:cNvPr>
            <xdr14:cNvContentPartPr/>
          </xdr14:nvContentPartPr>
          <xdr14:nvPr macro=""/>
          <xdr14:xfrm>
            <a:off x="13710600" y="2472960"/>
            <a:ext cx="360" cy="360"/>
          </xdr14:xfrm>
        </xdr:contentPart>
      </mc:Choice>
      <mc:Fallback xmlns="">
        <xdr:pic>
          <xdr:nvPicPr>
            <xdr:cNvPr id="2" name="Encre 1">
              <a:extLst>
                <a:ext uri="{FF2B5EF4-FFF2-40B4-BE49-F238E27FC236}">
                  <a16:creationId xmlns:a16="http://schemas.microsoft.com/office/drawing/2014/main" id="{F859AB5C-CE9D-6C1B-2A22-AABD975FE07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701600" y="24639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1761135</xdr:colOff>
      <xdr:row>8</xdr:row>
      <xdr:rowOff>199800</xdr:rowOff>
    </xdr:from>
    <xdr:to>
      <xdr:col>14</xdr:col>
      <xdr:colOff>1761495</xdr:colOff>
      <xdr:row>8</xdr:row>
      <xdr:rowOff>200160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Encre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14:cNvPr>
            <xdr14:cNvContentPartPr/>
          </xdr14:nvContentPartPr>
          <xdr14:nvPr macro=""/>
          <xdr14:xfrm>
            <a:off x="12857760" y="2181000"/>
            <a:ext cx="360" cy="360"/>
          </xdr14:xfrm>
        </xdr:contentPart>
      </mc:Choice>
      <mc:Fallback xmlns="">
        <xdr:pic>
          <xdr:nvPicPr>
            <xdr:cNvPr id="3" name="Encre 2">
              <a:extLst>
                <a:ext uri="{FF2B5EF4-FFF2-40B4-BE49-F238E27FC236}">
                  <a16:creationId xmlns:a16="http://schemas.microsoft.com/office/drawing/2014/main" id="{6C4814E4-CF8E-DE27-A4CE-07FFBC4A59D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848760" y="21723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1341735</xdr:colOff>
      <xdr:row>11</xdr:row>
      <xdr:rowOff>152145</xdr:rowOff>
    </xdr:from>
    <xdr:to>
      <xdr:col>14</xdr:col>
      <xdr:colOff>1342095</xdr:colOff>
      <xdr:row>11</xdr:row>
      <xdr:rowOff>152505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Encre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14:cNvPr>
            <xdr14:cNvContentPartPr/>
          </xdr14:nvContentPartPr>
          <xdr14:nvPr macro=""/>
          <xdr14:xfrm>
            <a:off x="12438360" y="2847720"/>
            <a:ext cx="360" cy="360"/>
          </xdr14:xfrm>
        </xdr:contentPart>
      </mc:Choice>
      <mc:Fallback xmlns="">
        <xdr:pic>
          <xdr:nvPicPr>
            <xdr:cNvPr id="4" name="Encre 3">
              <a:extLst>
                <a:ext uri="{FF2B5EF4-FFF2-40B4-BE49-F238E27FC236}">
                  <a16:creationId xmlns:a16="http://schemas.microsoft.com/office/drawing/2014/main" id="{603ACCC0-CAF4-3A34-6F41-18E2AB8537D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29720" y="2839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1318695</xdr:colOff>
      <xdr:row>11</xdr:row>
      <xdr:rowOff>176265</xdr:rowOff>
    </xdr:from>
    <xdr:to>
      <xdr:col>14</xdr:col>
      <xdr:colOff>1319055</xdr:colOff>
      <xdr:row>11</xdr:row>
      <xdr:rowOff>176625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Encre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14:cNvPr>
            <xdr14:cNvContentPartPr/>
          </xdr14:nvContentPartPr>
          <xdr14:nvPr macro=""/>
          <xdr14:xfrm>
            <a:off x="12415320" y="2871840"/>
            <a:ext cx="360" cy="360"/>
          </xdr14:xfrm>
        </xdr:contentPart>
      </mc:Choice>
      <mc:Fallback xmlns="">
        <xdr:pic>
          <xdr:nvPicPr>
            <xdr:cNvPr id="5" name="Encre 4">
              <a:extLst>
                <a:ext uri="{FF2B5EF4-FFF2-40B4-BE49-F238E27FC236}">
                  <a16:creationId xmlns:a16="http://schemas.microsoft.com/office/drawing/2014/main" id="{39E06AC9-3D89-5AAB-A3E4-28BC8B5DD04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06680" y="28632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2407335</xdr:colOff>
      <xdr:row>12</xdr:row>
      <xdr:rowOff>50460</xdr:rowOff>
    </xdr:from>
    <xdr:to>
      <xdr:col>14</xdr:col>
      <xdr:colOff>2237430</xdr:colOff>
      <xdr:row>12</xdr:row>
      <xdr:rowOff>50820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6" name="Encre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14:cNvPr>
            <xdr14:cNvContentPartPr/>
          </xdr14:nvContentPartPr>
          <xdr14:nvPr macro=""/>
          <xdr14:xfrm>
            <a:off x="13503960" y="2984160"/>
            <a:ext cx="360" cy="36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75832DF6-B44B-F8B9-C7E1-8F4E95925821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495320" y="29755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1327125</xdr:colOff>
      <xdr:row>11</xdr:row>
      <xdr:rowOff>129465</xdr:rowOff>
    </xdr:from>
    <xdr:to>
      <xdr:col>14</xdr:col>
      <xdr:colOff>1327485</xdr:colOff>
      <xdr:row>11</xdr:row>
      <xdr:rowOff>129825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7" name="Encre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14:cNvPr>
            <xdr14:cNvContentPartPr/>
          </xdr14:nvContentPartPr>
          <xdr14:nvPr macro=""/>
          <xdr14:xfrm>
            <a:off x="12423750" y="2825040"/>
            <a:ext cx="360" cy="360"/>
          </xdr14:xfrm>
        </xdr:contentPart>
      </mc:Choice>
      <mc:Fallback xmlns="">
        <xdr:pic>
          <xdr:nvPicPr>
            <xdr:cNvPr id="13" name="Encre 12">
              <a:extLst>
                <a:ext uri="{FF2B5EF4-FFF2-40B4-BE49-F238E27FC236}">
                  <a16:creationId xmlns:a16="http://schemas.microsoft.com/office/drawing/2014/main" id="{0B54AB20-22BB-1858-8B01-8BCE1D508EF1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414750" y="28160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1461405</xdr:colOff>
      <xdr:row>11</xdr:row>
      <xdr:rowOff>87705</xdr:rowOff>
    </xdr:from>
    <xdr:to>
      <xdr:col>14</xdr:col>
      <xdr:colOff>1461765</xdr:colOff>
      <xdr:row>11</xdr:row>
      <xdr:rowOff>88065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Encre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14:cNvPr>
            <xdr14:cNvContentPartPr/>
          </xdr14:nvContentPartPr>
          <xdr14:nvPr macro=""/>
          <xdr14:xfrm>
            <a:off x="12558030" y="2783280"/>
            <a:ext cx="360" cy="360"/>
          </xdr14:xfrm>
        </xdr:contentPart>
      </mc:Choice>
      <mc:Fallback xmlns="">
        <xdr:pic>
          <xdr:nvPicPr>
            <xdr:cNvPr id="14" name="Encre 13">
              <a:extLst>
                <a:ext uri="{FF2B5EF4-FFF2-40B4-BE49-F238E27FC236}">
                  <a16:creationId xmlns:a16="http://schemas.microsoft.com/office/drawing/2014/main" id="{440F524A-4AAA-2132-E4C9-9385430DAFC4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549030" y="27746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1321020</xdr:colOff>
      <xdr:row>12</xdr:row>
      <xdr:rowOff>24900</xdr:rowOff>
    </xdr:from>
    <xdr:to>
      <xdr:col>14</xdr:col>
      <xdr:colOff>1323540</xdr:colOff>
      <xdr:row>12</xdr:row>
      <xdr:rowOff>30300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14:cNvPr>
            <xdr14:cNvContentPartPr/>
          </xdr14:nvContentPartPr>
          <xdr14:nvPr macro=""/>
          <xdr14:xfrm>
            <a:off x="12417645" y="2958600"/>
            <a:ext cx="2520" cy="5400"/>
          </xdr14:xfrm>
        </xdr:contentPart>
      </mc:Choice>
      <mc:Fallback xmlns="">
        <xdr:pic>
          <xdr:nvPicPr>
            <xdr:cNvPr id="17" name="Encre 16">
              <a:extLst>
                <a:ext uri="{FF2B5EF4-FFF2-40B4-BE49-F238E27FC236}">
                  <a16:creationId xmlns:a16="http://schemas.microsoft.com/office/drawing/2014/main" id="{1DD74FF3-3ADC-E85F-9875-65273DF8A986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407565" y="2949960"/>
              <a:ext cx="23100" cy="2304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14</xdr:col>
      <xdr:colOff>2613975</xdr:colOff>
      <xdr:row>9</xdr:row>
      <xdr:rowOff>15510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14:cNvPr>
            <xdr14:cNvContentPartPr/>
          </xdr14:nvContentPartPr>
          <xdr14:nvPr macro=""/>
          <xdr14:xfrm>
            <a:off x="13710600" y="2472960"/>
            <a:ext cx="360" cy="360"/>
          </xdr14:xfrm>
        </xdr:contentPart>
      </mc:Choice>
      <mc:Fallback xmlns="">
        <xdr:pic>
          <xdr:nvPicPr>
            <xdr:cNvPr id="2" name="Encre 1">
              <a:extLst>
                <a:ext uri="{FF2B5EF4-FFF2-40B4-BE49-F238E27FC236}">
                  <a16:creationId xmlns:a16="http://schemas.microsoft.com/office/drawing/2014/main" id="{F859AB5C-CE9D-6C1B-2A22-AABD975FE07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701600" y="24639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1761135</xdr:colOff>
      <xdr:row>9</xdr:row>
      <xdr:rowOff>199800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1" name="Encre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14:cNvPr>
            <xdr14:cNvContentPartPr/>
          </xdr14:nvContentPartPr>
          <xdr14:nvPr macro=""/>
          <xdr14:xfrm>
            <a:off x="12857760" y="2181000"/>
            <a:ext cx="360" cy="360"/>
          </xdr14:xfrm>
        </xdr:contentPart>
      </mc:Choice>
      <mc:Fallback xmlns="">
        <xdr:pic>
          <xdr:nvPicPr>
            <xdr:cNvPr id="3" name="Encre 2">
              <a:extLst>
                <a:ext uri="{FF2B5EF4-FFF2-40B4-BE49-F238E27FC236}">
                  <a16:creationId xmlns:a16="http://schemas.microsoft.com/office/drawing/2014/main" id="{6C4814E4-CF8E-DE27-A4CE-07FFBC4A59D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848760" y="21723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2613975</xdr:colOff>
      <xdr:row>10</xdr:row>
      <xdr:rowOff>15510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2" name="Encre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14:cNvPr>
            <xdr14:cNvContentPartPr/>
          </xdr14:nvContentPartPr>
          <xdr14:nvPr macro=""/>
          <xdr14:xfrm>
            <a:off x="13710600" y="2472960"/>
            <a:ext cx="360" cy="360"/>
          </xdr14:xfrm>
        </xdr:contentPart>
      </mc:Choice>
      <mc:Fallback xmlns="">
        <xdr:pic>
          <xdr:nvPicPr>
            <xdr:cNvPr id="2" name="Encre 1">
              <a:extLst>
                <a:ext uri="{FF2B5EF4-FFF2-40B4-BE49-F238E27FC236}">
                  <a16:creationId xmlns:a16="http://schemas.microsoft.com/office/drawing/2014/main" id="{F859AB5C-CE9D-6C1B-2A22-AABD975FE07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701600" y="24639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1761135</xdr:colOff>
      <xdr:row>10</xdr:row>
      <xdr:rowOff>199800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3" name="Encre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14:cNvPr>
            <xdr14:cNvContentPartPr/>
          </xdr14:nvContentPartPr>
          <xdr14:nvPr macro=""/>
          <xdr14:xfrm>
            <a:off x="12857760" y="2181000"/>
            <a:ext cx="360" cy="360"/>
          </xdr14:xfrm>
        </xdr:contentPart>
      </mc:Choice>
      <mc:Fallback xmlns="">
        <xdr:pic>
          <xdr:nvPicPr>
            <xdr:cNvPr id="3" name="Encre 2">
              <a:extLst>
                <a:ext uri="{FF2B5EF4-FFF2-40B4-BE49-F238E27FC236}">
                  <a16:creationId xmlns:a16="http://schemas.microsoft.com/office/drawing/2014/main" id="{6C4814E4-CF8E-DE27-A4CE-07FFBC4A59D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848760" y="21723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2613975</xdr:colOff>
      <xdr:row>11</xdr:row>
      <xdr:rowOff>15510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4" name="Encre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14:cNvPr>
            <xdr14:cNvContentPartPr/>
          </xdr14:nvContentPartPr>
          <xdr14:nvPr macro=""/>
          <xdr14:xfrm>
            <a:off x="13710600" y="2472960"/>
            <a:ext cx="360" cy="360"/>
          </xdr14:xfrm>
        </xdr:contentPart>
      </mc:Choice>
      <mc:Fallback xmlns="">
        <xdr:pic>
          <xdr:nvPicPr>
            <xdr:cNvPr id="2" name="Encre 1">
              <a:extLst>
                <a:ext uri="{FF2B5EF4-FFF2-40B4-BE49-F238E27FC236}">
                  <a16:creationId xmlns:a16="http://schemas.microsoft.com/office/drawing/2014/main" id="{F859AB5C-CE9D-6C1B-2A22-AABD975FE07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701600" y="24639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1761135</xdr:colOff>
      <xdr:row>11</xdr:row>
      <xdr:rowOff>199800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15" name="Encre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14:cNvPr>
            <xdr14:cNvContentPartPr/>
          </xdr14:nvContentPartPr>
          <xdr14:nvPr macro=""/>
          <xdr14:xfrm>
            <a:off x="12857760" y="2181000"/>
            <a:ext cx="360" cy="360"/>
          </xdr14:xfrm>
        </xdr:contentPart>
      </mc:Choice>
      <mc:Fallback xmlns="">
        <xdr:pic>
          <xdr:nvPicPr>
            <xdr:cNvPr id="3" name="Encre 2">
              <a:extLst>
                <a:ext uri="{FF2B5EF4-FFF2-40B4-BE49-F238E27FC236}">
                  <a16:creationId xmlns:a16="http://schemas.microsoft.com/office/drawing/2014/main" id="{6C4814E4-CF8E-DE27-A4CE-07FFBC4A59D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848760" y="21723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1341735</xdr:colOff>
      <xdr:row>12</xdr:row>
      <xdr:rowOff>152145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6" name="Encre 15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14:cNvPr>
            <xdr14:cNvContentPartPr/>
          </xdr14:nvContentPartPr>
          <xdr14:nvPr macro=""/>
          <xdr14:xfrm>
            <a:off x="12438360" y="2847720"/>
            <a:ext cx="360" cy="360"/>
          </xdr14:xfrm>
        </xdr:contentPart>
      </mc:Choice>
      <mc:Fallback xmlns="">
        <xdr:pic>
          <xdr:nvPicPr>
            <xdr:cNvPr id="4" name="Encre 3">
              <a:extLst>
                <a:ext uri="{FF2B5EF4-FFF2-40B4-BE49-F238E27FC236}">
                  <a16:creationId xmlns:a16="http://schemas.microsoft.com/office/drawing/2014/main" id="{603ACCC0-CAF4-3A34-6F41-18E2AB8537D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29720" y="2839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1318695</xdr:colOff>
      <xdr:row>12</xdr:row>
      <xdr:rowOff>176265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7" name="Encre 16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14:cNvPr>
            <xdr14:cNvContentPartPr/>
          </xdr14:nvContentPartPr>
          <xdr14:nvPr macro=""/>
          <xdr14:xfrm>
            <a:off x="12415320" y="2871840"/>
            <a:ext cx="360" cy="360"/>
          </xdr14:xfrm>
        </xdr:contentPart>
      </mc:Choice>
      <mc:Fallback xmlns="">
        <xdr:pic>
          <xdr:nvPicPr>
            <xdr:cNvPr id="5" name="Encre 4">
              <a:extLst>
                <a:ext uri="{FF2B5EF4-FFF2-40B4-BE49-F238E27FC236}">
                  <a16:creationId xmlns:a16="http://schemas.microsoft.com/office/drawing/2014/main" id="{39E06AC9-3D89-5AAB-A3E4-28BC8B5DD04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06680" y="28632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1327125</xdr:colOff>
      <xdr:row>12</xdr:row>
      <xdr:rowOff>129465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8" name="Encre 17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14:cNvPr>
            <xdr14:cNvContentPartPr/>
          </xdr14:nvContentPartPr>
          <xdr14:nvPr macro=""/>
          <xdr14:xfrm>
            <a:off x="12423750" y="2825040"/>
            <a:ext cx="360" cy="360"/>
          </xdr14:xfrm>
        </xdr:contentPart>
      </mc:Choice>
      <mc:Fallback xmlns="">
        <xdr:pic>
          <xdr:nvPicPr>
            <xdr:cNvPr id="29" name="Encre 28">
              <a:extLst>
                <a:ext uri="{FF2B5EF4-FFF2-40B4-BE49-F238E27FC236}">
                  <a16:creationId xmlns:a16="http://schemas.microsoft.com/office/drawing/2014/main" id="{748DE4A2-197B-4BDE-9A3D-984E2A9773D8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414750" y="28160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1461405</xdr:colOff>
      <xdr:row>12</xdr:row>
      <xdr:rowOff>87705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19" name="Encre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14:cNvPr>
            <xdr14:cNvContentPartPr/>
          </xdr14:nvContentPartPr>
          <xdr14:nvPr macro=""/>
          <xdr14:xfrm>
            <a:off x="12558030" y="2783280"/>
            <a:ext cx="360" cy="36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7F9EEC2A-18CD-47B9-87E8-E9E544D580AB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549030" y="27746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2613975</xdr:colOff>
      <xdr:row>12</xdr:row>
      <xdr:rowOff>15510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14:cNvPr>
            <xdr14:cNvContentPartPr/>
          </xdr14:nvContentPartPr>
          <xdr14:nvPr macro=""/>
          <xdr14:xfrm>
            <a:off x="13710600" y="2472960"/>
            <a:ext cx="360" cy="360"/>
          </xdr14:xfrm>
        </xdr:contentPart>
      </mc:Choice>
      <mc:Fallback xmlns="">
        <xdr:pic>
          <xdr:nvPicPr>
            <xdr:cNvPr id="2" name="Encre 1">
              <a:extLst>
                <a:ext uri="{FF2B5EF4-FFF2-40B4-BE49-F238E27FC236}">
                  <a16:creationId xmlns:a16="http://schemas.microsoft.com/office/drawing/2014/main" id="{F859AB5C-CE9D-6C1B-2A22-AABD975FE07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701600" y="24639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1761135</xdr:colOff>
      <xdr:row>12</xdr:row>
      <xdr:rowOff>199800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00000000-0008-0000-0300-000015000000}"/>
                </a:ext>
              </a:extLst>
            </xdr14:cNvPr>
            <xdr14:cNvContentPartPr/>
          </xdr14:nvContentPartPr>
          <xdr14:nvPr macro=""/>
          <xdr14:xfrm>
            <a:off x="12857760" y="2181000"/>
            <a:ext cx="360" cy="360"/>
          </xdr14:xfrm>
        </xdr:contentPart>
      </mc:Choice>
      <mc:Fallback xmlns="">
        <xdr:pic>
          <xdr:nvPicPr>
            <xdr:cNvPr id="3" name="Encre 2">
              <a:extLst>
                <a:ext uri="{FF2B5EF4-FFF2-40B4-BE49-F238E27FC236}">
                  <a16:creationId xmlns:a16="http://schemas.microsoft.com/office/drawing/2014/main" id="{6C4814E4-CF8E-DE27-A4CE-07FFBC4A59D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848760" y="21723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2407335</xdr:colOff>
      <xdr:row>13</xdr:row>
      <xdr:rowOff>50460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14:cNvPr>
            <xdr14:cNvContentPartPr/>
          </xdr14:nvContentPartPr>
          <xdr14:nvPr macro=""/>
          <xdr14:xfrm>
            <a:off x="13503960" y="2984160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2F066EE-1214-47A7-B39F-6CAC67C03621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495320" y="29755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1321020</xdr:colOff>
      <xdr:row>13</xdr:row>
      <xdr:rowOff>24900</xdr:rowOff>
    </xdr:from>
    <xdr:ext cx="2520" cy="54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14:cNvPr>
            <xdr14:cNvContentPartPr/>
          </xdr14:nvContentPartPr>
          <xdr14:nvPr macro=""/>
          <xdr14:xfrm>
            <a:off x="12417645" y="2958600"/>
            <a:ext cx="2520" cy="540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B9C9B7B-E7DC-472B-AE35-6894FE103B8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407565" y="2949960"/>
              <a:ext cx="23100" cy="230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1341735</xdr:colOff>
      <xdr:row>13</xdr:row>
      <xdr:rowOff>152145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14:cNvPr>
            <xdr14:cNvContentPartPr/>
          </xdr14:nvContentPartPr>
          <xdr14:nvPr macro=""/>
          <xdr14:xfrm>
            <a:off x="12438360" y="2847720"/>
            <a:ext cx="360" cy="360"/>
          </xdr14:xfrm>
        </xdr:contentPart>
      </mc:Choice>
      <mc:Fallback xmlns="">
        <xdr:pic>
          <xdr:nvPicPr>
            <xdr:cNvPr id="4" name="Encre 3">
              <a:extLst>
                <a:ext uri="{FF2B5EF4-FFF2-40B4-BE49-F238E27FC236}">
                  <a16:creationId xmlns:a16="http://schemas.microsoft.com/office/drawing/2014/main" id="{603ACCC0-CAF4-3A34-6F41-18E2AB8537D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29720" y="2839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1318695</xdr:colOff>
      <xdr:row>13</xdr:row>
      <xdr:rowOff>176265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14:cNvPr>
            <xdr14:cNvContentPartPr/>
          </xdr14:nvContentPartPr>
          <xdr14:nvPr macro=""/>
          <xdr14:xfrm>
            <a:off x="12415320" y="2871840"/>
            <a:ext cx="360" cy="360"/>
          </xdr14:xfrm>
        </xdr:contentPart>
      </mc:Choice>
      <mc:Fallback xmlns="">
        <xdr:pic>
          <xdr:nvPicPr>
            <xdr:cNvPr id="5" name="Encre 4">
              <a:extLst>
                <a:ext uri="{FF2B5EF4-FFF2-40B4-BE49-F238E27FC236}">
                  <a16:creationId xmlns:a16="http://schemas.microsoft.com/office/drawing/2014/main" id="{39E06AC9-3D89-5AAB-A3E4-28BC8B5DD04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06680" y="28632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1327125</xdr:colOff>
      <xdr:row>13</xdr:row>
      <xdr:rowOff>129465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14:cNvPr>
            <xdr14:cNvContentPartPr/>
          </xdr14:nvContentPartPr>
          <xdr14:nvPr macro=""/>
          <xdr14:xfrm>
            <a:off x="12423750" y="2825040"/>
            <a:ext cx="3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4F444503-B804-4615-BB91-BDE09C00D6F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414750" y="28160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1461405</xdr:colOff>
      <xdr:row>13</xdr:row>
      <xdr:rowOff>87705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27" name="Encre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14:cNvPr>
            <xdr14:cNvContentPartPr/>
          </xdr14:nvContentPartPr>
          <xdr14:nvPr macro=""/>
          <xdr14:xfrm>
            <a:off x="12558030" y="2783280"/>
            <a:ext cx="360" cy="36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658072-17D0-4CEA-A5B8-72ED8F8CA351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549030" y="27746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2613975</xdr:colOff>
      <xdr:row>13</xdr:row>
      <xdr:rowOff>15510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8" name="Encre 27">
              <a:extLst>
                <a:ext uri="{FF2B5EF4-FFF2-40B4-BE49-F238E27FC236}">
                  <a16:creationId xmlns:a16="http://schemas.microsoft.com/office/drawing/2014/main" id="{00000000-0008-0000-0300-00001C000000}"/>
                </a:ext>
              </a:extLst>
            </xdr14:cNvPr>
            <xdr14:cNvContentPartPr/>
          </xdr14:nvContentPartPr>
          <xdr14:nvPr macro=""/>
          <xdr14:xfrm>
            <a:off x="13710600" y="2472960"/>
            <a:ext cx="360" cy="360"/>
          </xdr14:xfrm>
        </xdr:contentPart>
      </mc:Choice>
      <mc:Fallback xmlns="">
        <xdr:pic>
          <xdr:nvPicPr>
            <xdr:cNvPr id="2" name="Encre 1">
              <a:extLst>
                <a:ext uri="{FF2B5EF4-FFF2-40B4-BE49-F238E27FC236}">
                  <a16:creationId xmlns:a16="http://schemas.microsoft.com/office/drawing/2014/main" id="{F859AB5C-CE9D-6C1B-2A22-AABD975FE07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701600" y="24639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1761135</xdr:colOff>
      <xdr:row>13</xdr:row>
      <xdr:rowOff>199800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29" name="Encre 28">
              <a:extLst>
                <a:ext uri="{FF2B5EF4-FFF2-40B4-BE49-F238E27FC236}">
                  <a16:creationId xmlns:a16="http://schemas.microsoft.com/office/drawing/2014/main" id="{00000000-0008-0000-0300-00001D000000}"/>
                </a:ext>
              </a:extLst>
            </xdr14:cNvPr>
            <xdr14:cNvContentPartPr/>
          </xdr14:nvContentPartPr>
          <xdr14:nvPr macro=""/>
          <xdr14:xfrm>
            <a:off x="12857760" y="2181000"/>
            <a:ext cx="360" cy="360"/>
          </xdr14:xfrm>
        </xdr:contentPart>
      </mc:Choice>
      <mc:Fallback xmlns="">
        <xdr:pic>
          <xdr:nvPicPr>
            <xdr:cNvPr id="3" name="Encre 2">
              <a:extLst>
                <a:ext uri="{FF2B5EF4-FFF2-40B4-BE49-F238E27FC236}">
                  <a16:creationId xmlns:a16="http://schemas.microsoft.com/office/drawing/2014/main" id="{6C4814E4-CF8E-DE27-A4CE-07FFBC4A59D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848760" y="21723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2407335</xdr:colOff>
      <xdr:row>14</xdr:row>
      <xdr:rowOff>50460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00000000-0008-0000-0300-00001E000000}"/>
                </a:ext>
              </a:extLst>
            </xdr14:cNvPr>
            <xdr14:cNvContentPartPr/>
          </xdr14:nvContentPartPr>
          <xdr14:nvPr macro=""/>
          <xdr14:xfrm>
            <a:off x="13503960" y="2984160"/>
            <a:ext cx="360" cy="360"/>
          </xdr14:xfrm>
        </xdr:contentPart>
      </mc:Choice>
      <mc:Fallback xmlns="">
        <xdr:pic>
          <xdr:nvPicPr>
            <xdr:cNvPr id="41" name="Encre 40">
              <a:extLst>
                <a:ext uri="{FF2B5EF4-FFF2-40B4-BE49-F238E27FC236}">
                  <a16:creationId xmlns:a16="http://schemas.microsoft.com/office/drawing/2014/main" id="{F321E965-48FC-4746-AD13-0E122AF7CFB5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495320" y="29755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1321020</xdr:colOff>
      <xdr:row>14</xdr:row>
      <xdr:rowOff>24900</xdr:rowOff>
    </xdr:from>
    <xdr:ext cx="2520" cy="54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14:cNvPr>
            <xdr14:cNvContentPartPr/>
          </xdr14:nvContentPartPr>
          <xdr14:nvPr macro=""/>
          <xdr14:xfrm>
            <a:off x="12417645" y="2958600"/>
            <a:ext cx="2520" cy="5400"/>
          </xdr14:xfrm>
        </xdr:contentPart>
      </mc:Choice>
      <mc:Fallback xmlns="">
        <xdr:pic>
          <xdr:nvPicPr>
            <xdr:cNvPr id="42" name="Encre 41">
              <a:extLst>
                <a:ext uri="{FF2B5EF4-FFF2-40B4-BE49-F238E27FC236}">
                  <a16:creationId xmlns:a16="http://schemas.microsoft.com/office/drawing/2014/main" id="{AFD5B364-2866-4BA6-A99F-EFC6D36EAB1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407565" y="2949960"/>
              <a:ext cx="23100" cy="230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1341735</xdr:colOff>
      <xdr:row>14</xdr:row>
      <xdr:rowOff>152145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0000000-0008-0000-0300-000020000000}"/>
                </a:ext>
              </a:extLst>
            </xdr14:cNvPr>
            <xdr14:cNvContentPartPr/>
          </xdr14:nvContentPartPr>
          <xdr14:nvPr macro=""/>
          <xdr14:xfrm>
            <a:off x="12438360" y="2847720"/>
            <a:ext cx="360" cy="360"/>
          </xdr14:xfrm>
        </xdr:contentPart>
      </mc:Choice>
      <mc:Fallback xmlns="">
        <xdr:pic>
          <xdr:nvPicPr>
            <xdr:cNvPr id="4" name="Encre 3">
              <a:extLst>
                <a:ext uri="{FF2B5EF4-FFF2-40B4-BE49-F238E27FC236}">
                  <a16:creationId xmlns:a16="http://schemas.microsoft.com/office/drawing/2014/main" id="{603ACCC0-CAF4-3A34-6F41-18E2AB8537D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29720" y="2839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1318695</xdr:colOff>
      <xdr:row>14</xdr:row>
      <xdr:rowOff>176265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14:cNvPr>
            <xdr14:cNvContentPartPr/>
          </xdr14:nvContentPartPr>
          <xdr14:nvPr macro=""/>
          <xdr14:xfrm>
            <a:off x="12415320" y="2871840"/>
            <a:ext cx="360" cy="360"/>
          </xdr14:xfrm>
        </xdr:contentPart>
      </mc:Choice>
      <mc:Fallback xmlns="">
        <xdr:pic>
          <xdr:nvPicPr>
            <xdr:cNvPr id="5" name="Encre 4">
              <a:extLst>
                <a:ext uri="{FF2B5EF4-FFF2-40B4-BE49-F238E27FC236}">
                  <a16:creationId xmlns:a16="http://schemas.microsoft.com/office/drawing/2014/main" id="{39E06AC9-3D89-5AAB-A3E4-28BC8B5DD04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06680" y="28632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1327125</xdr:colOff>
      <xdr:row>14</xdr:row>
      <xdr:rowOff>129465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0000000-0008-0000-0300-000022000000}"/>
                </a:ext>
              </a:extLst>
            </xdr14:cNvPr>
            <xdr14:cNvContentPartPr/>
          </xdr14:nvContentPartPr>
          <xdr14:nvPr macro=""/>
          <xdr14:xfrm>
            <a:off x="12423750" y="2825040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FCE3AD1A-4FCC-45DB-B9A6-DF2571EC9776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414750" y="28160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1461405</xdr:colOff>
      <xdr:row>14</xdr:row>
      <xdr:rowOff>87705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35" name="Encre 34">
              <a:extLst>
                <a:ext uri="{FF2B5EF4-FFF2-40B4-BE49-F238E27FC236}">
                  <a16:creationId xmlns:a16="http://schemas.microsoft.com/office/drawing/2014/main" id="{00000000-0008-0000-0300-000023000000}"/>
                </a:ext>
              </a:extLst>
            </xdr14:cNvPr>
            <xdr14:cNvContentPartPr/>
          </xdr14:nvContentPartPr>
          <xdr14:nvPr macro=""/>
          <xdr14:xfrm>
            <a:off x="12558030" y="2783280"/>
            <a:ext cx="360" cy="36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856C7287-5AA3-46A2-901E-FB56062C5ED2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549030" y="27746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2613975</xdr:colOff>
      <xdr:row>14</xdr:row>
      <xdr:rowOff>15510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6" name="Encre 35">
              <a:extLst>
                <a:ext uri="{FF2B5EF4-FFF2-40B4-BE49-F238E27FC236}">
                  <a16:creationId xmlns:a16="http://schemas.microsoft.com/office/drawing/2014/main" id="{00000000-0008-0000-0300-000024000000}"/>
                </a:ext>
              </a:extLst>
            </xdr14:cNvPr>
            <xdr14:cNvContentPartPr/>
          </xdr14:nvContentPartPr>
          <xdr14:nvPr macro=""/>
          <xdr14:xfrm>
            <a:off x="13710600" y="2472960"/>
            <a:ext cx="360" cy="360"/>
          </xdr14:xfrm>
        </xdr:contentPart>
      </mc:Choice>
      <mc:Fallback xmlns="">
        <xdr:pic>
          <xdr:nvPicPr>
            <xdr:cNvPr id="2" name="Encre 1">
              <a:extLst>
                <a:ext uri="{FF2B5EF4-FFF2-40B4-BE49-F238E27FC236}">
                  <a16:creationId xmlns:a16="http://schemas.microsoft.com/office/drawing/2014/main" id="{F859AB5C-CE9D-6C1B-2A22-AABD975FE07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701600" y="24639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1761135</xdr:colOff>
      <xdr:row>14</xdr:row>
      <xdr:rowOff>199800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00000000-0008-0000-0300-000025000000}"/>
                </a:ext>
              </a:extLst>
            </xdr14:cNvPr>
            <xdr14:cNvContentPartPr/>
          </xdr14:nvContentPartPr>
          <xdr14:nvPr macro=""/>
          <xdr14:xfrm>
            <a:off x="12857760" y="2181000"/>
            <a:ext cx="360" cy="360"/>
          </xdr14:xfrm>
        </xdr:contentPart>
      </mc:Choice>
      <mc:Fallback xmlns="">
        <xdr:pic>
          <xdr:nvPicPr>
            <xdr:cNvPr id="3" name="Encre 2">
              <a:extLst>
                <a:ext uri="{FF2B5EF4-FFF2-40B4-BE49-F238E27FC236}">
                  <a16:creationId xmlns:a16="http://schemas.microsoft.com/office/drawing/2014/main" id="{6C4814E4-CF8E-DE27-A4CE-07FFBC4A59D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848760" y="21723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2407335</xdr:colOff>
      <xdr:row>15</xdr:row>
      <xdr:rowOff>50460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00000000-0008-0000-0300-000026000000}"/>
                </a:ext>
              </a:extLst>
            </xdr14:cNvPr>
            <xdr14:cNvContentPartPr/>
          </xdr14:nvContentPartPr>
          <xdr14:nvPr macro=""/>
          <xdr14:xfrm>
            <a:off x="13503960" y="2984160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2F066EE-1214-47A7-B39F-6CAC67C03621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495320" y="29755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1321020</xdr:colOff>
      <xdr:row>15</xdr:row>
      <xdr:rowOff>24900</xdr:rowOff>
    </xdr:from>
    <xdr:ext cx="2520" cy="54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9" name="Encre 38">
              <a:extLst>
                <a:ext uri="{FF2B5EF4-FFF2-40B4-BE49-F238E27FC236}">
                  <a16:creationId xmlns:a16="http://schemas.microsoft.com/office/drawing/2014/main" id="{00000000-0008-0000-0300-000027000000}"/>
                </a:ext>
              </a:extLst>
            </xdr14:cNvPr>
            <xdr14:cNvContentPartPr/>
          </xdr14:nvContentPartPr>
          <xdr14:nvPr macro=""/>
          <xdr14:xfrm>
            <a:off x="12417645" y="2958600"/>
            <a:ext cx="2520" cy="540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B9C9B7B-E7DC-472B-AE35-6894FE103B8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407565" y="2949960"/>
              <a:ext cx="23100" cy="230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1341735</xdr:colOff>
      <xdr:row>15</xdr:row>
      <xdr:rowOff>152145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40" name="Encre 39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14:cNvPr>
            <xdr14:cNvContentPartPr/>
          </xdr14:nvContentPartPr>
          <xdr14:nvPr macro=""/>
          <xdr14:xfrm>
            <a:off x="12438360" y="2847720"/>
            <a:ext cx="360" cy="360"/>
          </xdr14:xfrm>
        </xdr:contentPart>
      </mc:Choice>
      <mc:Fallback xmlns="">
        <xdr:pic>
          <xdr:nvPicPr>
            <xdr:cNvPr id="4" name="Encre 3">
              <a:extLst>
                <a:ext uri="{FF2B5EF4-FFF2-40B4-BE49-F238E27FC236}">
                  <a16:creationId xmlns:a16="http://schemas.microsoft.com/office/drawing/2014/main" id="{603ACCC0-CAF4-3A34-6F41-18E2AB8537D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29720" y="2839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1318695</xdr:colOff>
      <xdr:row>15</xdr:row>
      <xdr:rowOff>176265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1" name="Encre 40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14:cNvPr>
            <xdr14:cNvContentPartPr/>
          </xdr14:nvContentPartPr>
          <xdr14:nvPr macro=""/>
          <xdr14:xfrm>
            <a:off x="12415320" y="2871840"/>
            <a:ext cx="360" cy="360"/>
          </xdr14:xfrm>
        </xdr:contentPart>
      </mc:Choice>
      <mc:Fallback xmlns="">
        <xdr:pic>
          <xdr:nvPicPr>
            <xdr:cNvPr id="5" name="Encre 4">
              <a:extLst>
                <a:ext uri="{FF2B5EF4-FFF2-40B4-BE49-F238E27FC236}">
                  <a16:creationId xmlns:a16="http://schemas.microsoft.com/office/drawing/2014/main" id="{39E06AC9-3D89-5AAB-A3E4-28BC8B5DD04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06680" y="28632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1327125</xdr:colOff>
      <xdr:row>15</xdr:row>
      <xdr:rowOff>129465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42" name="Encre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14:cNvPr>
            <xdr14:cNvContentPartPr/>
          </xdr14:nvContentPartPr>
          <xdr14:nvPr macro=""/>
          <xdr14:xfrm>
            <a:off x="12423750" y="2825040"/>
            <a:ext cx="3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4F444503-B804-4615-BB91-BDE09C00D6F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414750" y="28160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1461405</xdr:colOff>
      <xdr:row>15</xdr:row>
      <xdr:rowOff>87705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43" name="Encre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14:cNvPr>
            <xdr14:cNvContentPartPr/>
          </xdr14:nvContentPartPr>
          <xdr14:nvPr macro=""/>
          <xdr14:xfrm>
            <a:off x="12558030" y="2783280"/>
            <a:ext cx="360" cy="36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658072-17D0-4CEA-A5B8-72ED8F8CA351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549030" y="27746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2613975</xdr:colOff>
      <xdr:row>15</xdr:row>
      <xdr:rowOff>15510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44" name="Encre 43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14:cNvPr>
            <xdr14:cNvContentPartPr/>
          </xdr14:nvContentPartPr>
          <xdr14:nvPr macro=""/>
          <xdr14:xfrm>
            <a:off x="13710600" y="2472960"/>
            <a:ext cx="360" cy="360"/>
          </xdr14:xfrm>
        </xdr:contentPart>
      </mc:Choice>
      <mc:Fallback xmlns="">
        <xdr:pic>
          <xdr:nvPicPr>
            <xdr:cNvPr id="2" name="Encre 1">
              <a:extLst>
                <a:ext uri="{FF2B5EF4-FFF2-40B4-BE49-F238E27FC236}">
                  <a16:creationId xmlns:a16="http://schemas.microsoft.com/office/drawing/2014/main" id="{F859AB5C-CE9D-6C1B-2A22-AABD975FE07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701600" y="24639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1761135</xdr:colOff>
      <xdr:row>15</xdr:row>
      <xdr:rowOff>199800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00000000-0008-0000-0300-00002D000000}"/>
                </a:ext>
              </a:extLst>
            </xdr14:cNvPr>
            <xdr14:cNvContentPartPr/>
          </xdr14:nvContentPartPr>
          <xdr14:nvPr macro=""/>
          <xdr14:xfrm>
            <a:off x="12857760" y="2181000"/>
            <a:ext cx="360" cy="360"/>
          </xdr14:xfrm>
        </xdr:contentPart>
      </mc:Choice>
      <mc:Fallback xmlns="">
        <xdr:pic>
          <xdr:nvPicPr>
            <xdr:cNvPr id="3" name="Encre 2">
              <a:extLst>
                <a:ext uri="{FF2B5EF4-FFF2-40B4-BE49-F238E27FC236}">
                  <a16:creationId xmlns:a16="http://schemas.microsoft.com/office/drawing/2014/main" id="{6C4814E4-CF8E-DE27-A4CE-07FFBC4A59D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848760" y="21723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2407335</xdr:colOff>
      <xdr:row>16</xdr:row>
      <xdr:rowOff>50460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14:cNvPr>
            <xdr14:cNvContentPartPr/>
          </xdr14:nvContentPartPr>
          <xdr14:nvPr macro=""/>
          <xdr14:xfrm>
            <a:off x="13503960" y="2984160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2F066EE-1214-47A7-B39F-6CAC67C03621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495320" y="29755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1321020</xdr:colOff>
      <xdr:row>16</xdr:row>
      <xdr:rowOff>24900</xdr:rowOff>
    </xdr:from>
    <xdr:ext cx="2520" cy="54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00000000-0008-0000-0300-00002F000000}"/>
                </a:ext>
              </a:extLst>
            </xdr14:cNvPr>
            <xdr14:cNvContentPartPr/>
          </xdr14:nvContentPartPr>
          <xdr14:nvPr macro=""/>
          <xdr14:xfrm>
            <a:off x="12417645" y="2958600"/>
            <a:ext cx="2520" cy="540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B9C9B7B-E7DC-472B-AE35-6894FE103B8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407565" y="2949960"/>
              <a:ext cx="23100" cy="230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1341735</xdr:colOff>
      <xdr:row>16</xdr:row>
      <xdr:rowOff>152145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00000000-0008-0000-0300-000030000000}"/>
                </a:ext>
              </a:extLst>
            </xdr14:cNvPr>
            <xdr14:cNvContentPartPr/>
          </xdr14:nvContentPartPr>
          <xdr14:nvPr macro=""/>
          <xdr14:xfrm>
            <a:off x="12438360" y="2847720"/>
            <a:ext cx="360" cy="360"/>
          </xdr14:xfrm>
        </xdr:contentPart>
      </mc:Choice>
      <mc:Fallback xmlns="">
        <xdr:pic>
          <xdr:nvPicPr>
            <xdr:cNvPr id="4" name="Encre 3">
              <a:extLst>
                <a:ext uri="{FF2B5EF4-FFF2-40B4-BE49-F238E27FC236}">
                  <a16:creationId xmlns:a16="http://schemas.microsoft.com/office/drawing/2014/main" id="{603ACCC0-CAF4-3A34-6F41-18E2AB8537D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29720" y="2839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1318695</xdr:colOff>
      <xdr:row>16</xdr:row>
      <xdr:rowOff>176265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00000000-0008-0000-0300-000031000000}"/>
                </a:ext>
              </a:extLst>
            </xdr14:cNvPr>
            <xdr14:cNvContentPartPr/>
          </xdr14:nvContentPartPr>
          <xdr14:nvPr macro=""/>
          <xdr14:xfrm>
            <a:off x="12415320" y="2871840"/>
            <a:ext cx="360" cy="360"/>
          </xdr14:xfrm>
        </xdr:contentPart>
      </mc:Choice>
      <mc:Fallback xmlns="">
        <xdr:pic>
          <xdr:nvPicPr>
            <xdr:cNvPr id="5" name="Encre 4">
              <a:extLst>
                <a:ext uri="{FF2B5EF4-FFF2-40B4-BE49-F238E27FC236}">
                  <a16:creationId xmlns:a16="http://schemas.microsoft.com/office/drawing/2014/main" id="{39E06AC9-3D89-5AAB-A3E4-28BC8B5DD04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06680" y="28632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1327125</xdr:colOff>
      <xdr:row>16</xdr:row>
      <xdr:rowOff>129465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14:cNvPr>
            <xdr14:cNvContentPartPr/>
          </xdr14:nvContentPartPr>
          <xdr14:nvPr macro=""/>
          <xdr14:xfrm>
            <a:off x="12423750" y="2825040"/>
            <a:ext cx="3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4F444503-B804-4615-BB91-BDE09C00D6F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414750" y="28160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1461405</xdr:colOff>
      <xdr:row>16</xdr:row>
      <xdr:rowOff>87705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51" name="Encre 50">
              <a:extLst>
                <a:ext uri="{FF2B5EF4-FFF2-40B4-BE49-F238E27FC236}">
                  <a16:creationId xmlns:a16="http://schemas.microsoft.com/office/drawing/2014/main" id="{00000000-0008-0000-0300-000033000000}"/>
                </a:ext>
              </a:extLst>
            </xdr14:cNvPr>
            <xdr14:cNvContentPartPr/>
          </xdr14:nvContentPartPr>
          <xdr14:nvPr macro=""/>
          <xdr14:xfrm>
            <a:off x="12558030" y="2783280"/>
            <a:ext cx="360" cy="36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658072-17D0-4CEA-A5B8-72ED8F8CA351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549030" y="27746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2613975</xdr:colOff>
      <xdr:row>16</xdr:row>
      <xdr:rowOff>15510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52" name="Encre 51">
              <a:extLst>
                <a:ext uri="{FF2B5EF4-FFF2-40B4-BE49-F238E27FC236}">
                  <a16:creationId xmlns:a16="http://schemas.microsoft.com/office/drawing/2014/main" id="{00000000-0008-0000-0300-000034000000}"/>
                </a:ext>
              </a:extLst>
            </xdr14:cNvPr>
            <xdr14:cNvContentPartPr/>
          </xdr14:nvContentPartPr>
          <xdr14:nvPr macro=""/>
          <xdr14:xfrm>
            <a:off x="13710600" y="2472960"/>
            <a:ext cx="360" cy="360"/>
          </xdr14:xfrm>
        </xdr:contentPart>
      </mc:Choice>
      <mc:Fallback xmlns="">
        <xdr:pic>
          <xdr:nvPicPr>
            <xdr:cNvPr id="2" name="Encre 1">
              <a:extLst>
                <a:ext uri="{FF2B5EF4-FFF2-40B4-BE49-F238E27FC236}">
                  <a16:creationId xmlns:a16="http://schemas.microsoft.com/office/drawing/2014/main" id="{F859AB5C-CE9D-6C1B-2A22-AABD975FE07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701600" y="24639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1761135</xdr:colOff>
      <xdr:row>16</xdr:row>
      <xdr:rowOff>199800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53" name="Encre 52">
              <a:extLst>
                <a:ext uri="{FF2B5EF4-FFF2-40B4-BE49-F238E27FC236}">
                  <a16:creationId xmlns:a16="http://schemas.microsoft.com/office/drawing/2014/main" id="{00000000-0008-0000-0300-000035000000}"/>
                </a:ext>
              </a:extLst>
            </xdr14:cNvPr>
            <xdr14:cNvContentPartPr/>
          </xdr14:nvContentPartPr>
          <xdr14:nvPr macro=""/>
          <xdr14:xfrm>
            <a:off x="12857760" y="2181000"/>
            <a:ext cx="360" cy="360"/>
          </xdr14:xfrm>
        </xdr:contentPart>
      </mc:Choice>
      <mc:Fallback xmlns="">
        <xdr:pic>
          <xdr:nvPicPr>
            <xdr:cNvPr id="3" name="Encre 2">
              <a:extLst>
                <a:ext uri="{FF2B5EF4-FFF2-40B4-BE49-F238E27FC236}">
                  <a16:creationId xmlns:a16="http://schemas.microsoft.com/office/drawing/2014/main" id="{6C4814E4-CF8E-DE27-A4CE-07FFBC4A59D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848760" y="21723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2407335</xdr:colOff>
      <xdr:row>17</xdr:row>
      <xdr:rowOff>50460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54" name="Encre 53">
              <a:extLst>
                <a:ext uri="{FF2B5EF4-FFF2-40B4-BE49-F238E27FC236}">
                  <a16:creationId xmlns:a16="http://schemas.microsoft.com/office/drawing/2014/main" id="{00000000-0008-0000-0300-000036000000}"/>
                </a:ext>
              </a:extLst>
            </xdr14:cNvPr>
            <xdr14:cNvContentPartPr/>
          </xdr14:nvContentPartPr>
          <xdr14:nvPr macro=""/>
          <xdr14:xfrm>
            <a:off x="13503960" y="2984160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2F066EE-1214-47A7-B39F-6CAC67C03621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495320" y="29755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1321020</xdr:colOff>
      <xdr:row>17</xdr:row>
      <xdr:rowOff>24900</xdr:rowOff>
    </xdr:from>
    <xdr:ext cx="2520" cy="54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55" name="Encre 54"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14:cNvPr>
            <xdr14:cNvContentPartPr/>
          </xdr14:nvContentPartPr>
          <xdr14:nvPr macro=""/>
          <xdr14:xfrm>
            <a:off x="12417645" y="2958600"/>
            <a:ext cx="2520" cy="540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B9C9B7B-E7DC-472B-AE35-6894FE103B8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407565" y="2949960"/>
              <a:ext cx="23100" cy="230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1341735</xdr:colOff>
      <xdr:row>17</xdr:row>
      <xdr:rowOff>152145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56" name="Encre 55">
              <a:extLst>
                <a:ext uri="{FF2B5EF4-FFF2-40B4-BE49-F238E27FC236}">
                  <a16:creationId xmlns:a16="http://schemas.microsoft.com/office/drawing/2014/main" id="{00000000-0008-0000-0300-000038000000}"/>
                </a:ext>
              </a:extLst>
            </xdr14:cNvPr>
            <xdr14:cNvContentPartPr/>
          </xdr14:nvContentPartPr>
          <xdr14:nvPr macro=""/>
          <xdr14:xfrm>
            <a:off x="12438360" y="2847720"/>
            <a:ext cx="360" cy="360"/>
          </xdr14:xfrm>
        </xdr:contentPart>
      </mc:Choice>
      <mc:Fallback xmlns="">
        <xdr:pic>
          <xdr:nvPicPr>
            <xdr:cNvPr id="4" name="Encre 3">
              <a:extLst>
                <a:ext uri="{FF2B5EF4-FFF2-40B4-BE49-F238E27FC236}">
                  <a16:creationId xmlns:a16="http://schemas.microsoft.com/office/drawing/2014/main" id="{603ACCC0-CAF4-3A34-6F41-18E2AB8537D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29720" y="2839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1318695</xdr:colOff>
      <xdr:row>17</xdr:row>
      <xdr:rowOff>176265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57" name="Encre 56">
              <a:extLst>
                <a:ext uri="{FF2B5EF4-FFF2-40B4-BE49-F238E27FC236}">
                  <a16:creationId xmlns:a16="http://schemas.microsoft.com/office/drawing/2014/main" id="{00000000-0008-0000-0300-000039000000}"/>
                </a:ext>
              </a:extLst>
            </xdr14:cNvPr>
            <xdr14:cNvContentPartPr/>
          </xdr14:nvContentPartPr>
          <xdr14:nvPr macro=""/>
          <xdr14:xfrm>
            <a:off x="12415320" y="2871840"/>
            <a:ext cx="360" cy="360"/>
          </xdr14:xfrm>
        </xdr:contentPart>
      </mc:Choice>
      <mc:Fallback xmlns="">
        <xdr:pic>
          <xdr:nvPicPr>
            <xdr:cNvPr id="5" name="Encre 4">
              <a:extLst>
                <a:ext uri="{FF2B5EF4-FFF2-40B4-BE49-F238E27FC236}">
                  <a16:creationId xmlns:a16="http://schemas.microsoft.com/office/drawing/2014/main" id="{39E06AC9-3D89-5AAB-A3E4-28BC8B5DD04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06680" y="28632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1327125</xdr:colOff>
      <xdr:row>17</xdr:row>
      <xdr:rowOff>129465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58" name="Encre 57">
              <a:extLst>
                <a:ext uri="{FF2B5EF4-FFF2-40B4-BE49-F238E27FC236}">
                  <a16:creationId xmlns:a16="http://schemas.microsoft.com/office/drawing/2014/main" id="{00000000-0008-0000-0300-00003A000000}"/>
                </a:ext>
              </a:extLst>
            </xdr14:cNvPr>
            <xdr14:cNvContentPartPr/>
          </xdr14:nvContentPartPr>
          <xdr14:nvPr macro=""/>
          <xdr14:xfrm>
            <a:off x="12423750" y="2825040"/>
            <a:ext cx="3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4F444503-B804-4615-BB91-BDE09C00D6F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414750" y="28160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1461405</xdr:colOff>
      <xdr:row>17</xdr:row>
      <xdr:rowOff>87705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59" name="Encre 58">
              <a:extLst>
                <a:ext uri="{FF2B5EF4-FFF2-40B4-BE49-F238E27FC236}">
                  <a16:creationId xmlns:a16="http://schemas.microsoft.com/office/drawing/2014/main" id="{00000000-0008-0000-0300-00003B000000}"/>
                </a:ext>
              </a:extLst>
            </xdr14:cNvPr>
            <xdr14:cNvContentPartPr/>
          </xdr14:nvContentPartPr>
          <xdr14:nvPr macro=""/>
          <xdr14:xfrm>
            <a:off x="12558030" y="2783280"/>
            <a:ext cx="360" cy="36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658072-17D0-4CEA-A5B8-72ED8F8CA351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549030" y="27746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2613975</xdr:colOff>
      <xdr:row>17</xdr:row>
      <xdr:rowOff>15510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60" name="Encre 59">
              <a:extLst>
                <a:ext uri="{FF2B5EF4-FFF2-40B4-BE49-F238E27FC236}">
                  <a16:creationId xmlns:a16="http://schemas.microsoft.com/office/drawing/2014/main" id="{00000000-0008-0000-0300-00003C000000}"/>
                </a:ext>
              </a:extLst>
            </xdr14:cNvPr>
            <xdr14:cNvContentPartPr/>
          </xdr14:nvContentPartPr>
          <xdr14:nvPr macro=""/>
          <xdr14:xfrm>
            <a:off x="13710600" y="2472960"/>
            <a:ext cx="360" cy="360"/>
          </xdr14:xfrm>
        </xdr:contentPart>
      </mc:Choice>
      <mc:Fallback xmlns="">
        <xdr:pic>
          <xdr:nvPicPr>
            <xdr:cNvPr id="2" name="Encre 1">
              <a:extLst>
                <a:ext uri="{FF2B5EF4-FFF2-40B4-BE49-F238E27FC236}">
                  <a16:creationId xmlns:a16="http://schemas.microsoft.com/office/drawing/2014/main" id="{F859AB5C-CE9D-6C1B-2A22-AABD975FE07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701600" y="24639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1761135</xdr:colOff>
      <xdr:row>17</xdr:row>
      <xdr:rowOff>199800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61" name="Encre 60">
              <a:extLst>
                <a:ext uri="{FF2B5EF4-FFF2-40B4-BE49-F238E27FC236}">
                  <a16:creationId xmlns:a16="http://schemas.microsoft.com/office/drawing/2014/main" id="{00000000-0008-0000-0300-00003D000000}"/>
                </a:ext>
              </a:extLst>
            </xdr14:cNvPr>
            <xdr14:cNvContentPartPr/>
          </xdr14:nvContentPartPr>
          <xdr14:nvPr macro=""/>
          <xdr14:xfrm>
            <a:off x="12857760" y="2181000"/>
            <a:ext cx="360" cy="360"/>
          </xdr14:xfrm>
        </xdr:contentPart>
      </mc:Choice>
      <mc:Fallback xmlns="">
        <xdr:pic>
          <xdr:nvPicPr>
            <xdr:cNvPr id="3" name="Encre 2">
              <a:extLst>
                <a:ext uri="{FF2B5EF4-FFF2-40B4-BE49-F238E27FC236}">
                  <a16:creationId xmlns:a16="http://schemas.microsoft.com/office/drawing/2014/main" id="{6C4814E4-CF8E-DE27-A4CE-07FFBC4A59D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848760" y="21723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2407335</xdr:colOff>
      <xdr:row>18</xdr:row>
      <xdr:rowOff>50460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00000000-0008-0000-0300-00003E000000}"/>
                </a:ext>
              </a:extLst>
            </xdr14:cNvPr>
            <xdr14:cNvContentPartPr/>
          </xdr14:nvContentPartPr>
          <xdr14:nvPr macro=""/>
          <xdr14:xfrm>
            <a:off x="13503960" y="2984160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2F066EE-1214-47A7-B39F-6CAC67C03621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495320" y="29755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1321020</xdr:colOff>
      <xdr:row>18</xdr:row>
      <xdr:rowOff>24900</xdr:rowOff>
    </xdr:from>
    <xdr:ext cx="2520" cy="54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63" name="Encre 62">
              <a:extLst>
                <a:ext uri="{FF2B5EF4-FFF2-40B4-BE49-F238E27FC236}">
                  <a16:creationId xmlns:a16="http://schemas.microsoft.com/office/drawing/2014/main" id="{00000000-0008-0000-0300-00003F000000}"/>
                </a:ext>
              </a:extLst>
            </xdr14:cNvPr>
            <xdr14:cNvContentPartPr/>
          </xdr14:nvContentPartPr>
          <xdr14:nvPr macro=""/>
          <xdr14:xfrm>
            <a:off x="12417645" y="2958600"/>
            <a:ext cx="2520" cy="540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B9C9B7B-E7DC-472B-AE35-6894FE103B8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407565" y="2949960"/>
              <a:ext cx="23100" cy="230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1341735</xdr:colOff>
      <xdr:row>18</xdr:row>
      <xdr:rowOff>152145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64" name="Encre 63">
              <a:extLst>
                <a:ext uri="{FF2B5EF4-FFF2-40B4-BE49-F238E27FC236}">
                  <a16:creationId xmlns:a16="http://schemas.microsoft.com/office/drawing/2014/main" id="{00000000-0008-0000-0300-000040000000}"/>
                </a:ext>
              </a:extLst>
            </xdr14:cNvPr>
            <xdr14:cNvContentPartPr/>
          </xdr14:nvContentPartPr>
          <xdr14:nvPr macro=""/>
          <xdr14:xfrm>
            <a:off x="12438360" y="2847720"/>
            <a:ext cx="360" cy="360"/>
          </xdr14:xfrm>
        </xdr:contentPart>
      </mc:Choice>
      <mc:Fallback xmlns="">
        <xdr:pic>
          <xdr:nvPicPr>
            <xdr:cNvPr id="4" name="Encre 3">
              <a:extLst>
                <a:ext uri="{FF2B5EF4-FFF2-40B4-BE49-F238E27FC236}">
                  <a16:creationId xmlns:a16="http://schemas.microsoft.com/office/drawing/2014/main" id="{603ACCC0-CAF4-3A34-6F41-18E2AB8537D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29720" y="2839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1318695</xdr:colOff>
      <xdr:row>18</xdr:row>
      <xdr:rowOff>176265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65" name="Encre 64">
              <a:extLst>
                <a:ext uri="{FF2B5EF4-FFF2-40B4-BE49-F238E27FC236}">
                  <a16:creationId xmlns:a16="http://schemas.microsoft.com/office/drawing/2014/main" id="{00000000-0008-0000-0300-000041000000}"/>
                </a:ext>
              </a:extLst>
            </xdr14:cNvPr>
            <xdr14:cNvContentPartPr/>
          </xdr14:nvContentPartPr>
          <xdr14:nvPr macro=""/>
          <xdr14:xfrm>
            <a:off x="12415320" y="2871840"/>
            <a:ext cx="360" cy="360"/>
          </xdr14:xfrm>
        </xdr:contentPart>
      </mc:Choice>
      <mc:Fallback xmlns="">
        <xdr:pic>
          <xdr:nvPicPr>
            <xdr:cNvPr id="5" name="Encre 4">
              <a:extLst>
                <a:ext uri="{FF2B5EF4-FFF2-40B4-BE49-F238E27FC236}">
                  <a16:creationId xmlns:a16="http://schemas.microsoft.com/office/drawing/2014/main" id="{39E06AC9-3D89-5AAB-A3E4-28BC8B5DD04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06680" y="28632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1327125</xdr:colOff>
      <xdr:row>18</xdr:row>
      <xdr:rowOff>129465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66" name="Encre 65">
              <a:extLst>
                <a:ext uri="{FF2B5EF4-FFF2-40B4-BE49-F238E27FC236}">
                  <a16:creationId xmlns:a16="http://schemas.microsoft.com/office/drawing/2014/main" id="{00000000-0008-0000-0300-000042000000}"/>
                </a:ext>
              </a:extLst>
            </xdr14:cNvPr>
            <xdr14:cNvContentPartPr/>
          </xdr14:nvContentPartPr>
          <xdr14:nvPr macro=""/>
          <xdr14:xfrm>
            <a:off x="12423750" y="2825040"/>
            <a:ext cx="3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4F444503-B804-4615-BB91-BDE09C00D6F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414750" y="28160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1461405</xdr:colOff>
      <xdr:row>18</xdr:row>
      <xdr:rowOff>87705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67" name="Encre 66">
              <a:extLst>
                <a:ext uri="{FF2B5EF4-FFF2-40B4-BE49-F238E27FC236}">
                  <a16:creationId xmlns:a16="http://schemas.microsoft.com/office/drawing/2014/main" id="{00000000-0008-0000-0300-000043000000}"/>
                </a:ext>
              </a:extLst>
            </xdr14:cNvPr>
            <xdr14:cNvContentPartPr/>
          </xdr14:nvContentPartPr>
          <xdr14:nvPr macro=""/>
          <xdr14:xfrm>
            <a:off x="12558030" y="2783280"/>
            <a:ext cx="360" cy="36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658072-17D0-4CEA-A5B8-72ED8F8CA351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549030" y="27746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2613975</xdr:colOff>
      <xdr:row>18</xdr:row>
      <xdr:rowOff>15510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68" name="Encre 67">
              <a:extLst>
                <a:ext uri="{FF2B5EF4-FFF2-40B4-BE49-F238E27FC236}">
                  <a16:creationId xmlns:a16="http://schemas.microsoft.com/office/drawing/2014/main" id="{00000000-0008-0000-0300-000044000000}"/>
                </a:ext>
              </a:extLst>
            </xdr14:cNvPr>
            <xdr14:cNvContentPartPr/>
          </xdr14:nvContentPartPr>
          <xdr14:nvPr macro=""/>
          <xdr14:xfrm>
            <a:off x="13710600" y="2472960"/>
            <a:ext cx="360" cy="360"/>
          </xdr14:xfrm>
        </xdr:contentPart>
      </mc:Choice>
      <mc:Fallback xmlns="">
        <xdr:pic>
          <xdr:nvPicPr>
            <xdr:cNvPr id="2" name="Encre 1">
              <a:extLst>
                <a:ext uri="{FF2B5EF4-FFF2-40B4-BE49-F238E27FC236}">
                  <a16:creationId xmlns:a16="http://schemas.microsoft.com/office/drawing/2014/main" id="{F859AB5C-CE9D-6C1B-2A22-AABD975FE07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701600" y="24639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1761135</xdr:colOff>
      <xdr:row>18</xdr:row>
      <xdr:rowOff>199800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69" name="Encre 68">
              <a:extLst>
                <a:ext uri="{FF2B5EF4-FFF2-40B4-BE49-F238E27FC236}">
                  <a16:creationId xmlns:a16="http://schemas.microsoft.com/office/drawing/2014/main" id="{00000000-0008-0000-0300-000045000000}"/>
                </a:ext>
              </a:extLst>
            </xdr14:cNvPr>
            <xdr14:cNvContentPartPr/>
          </xdr14:nvContentPartPr>
          <xdr14:nvPr macro=""/>
          <xdr14:xfrm>
            <a:off x="12857760" y="2181000"/>
            <a:ext cx="360" cy="360"/>
          </xdr14:xfrm>
        </xdr:contentPart>
      </mc:Choice>
      <mc:Fallback xmlns="">
        <xdr:pic>
          <xdr:nvPicPr>
            <xdr:cNvPr id="3" name="Encre 2">
              <a:extLst>
                <a:ext uri="{FF2B5EF4-FFF2-40B4-BE49-F238E27FC236}">
                  <a16:creationId xmlns:a16="http://schemas.microsoft.com/office/drawing/2014/main" id="{6C4814E4-CF8E-DE27-A4CE-07FFBC4A59D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848760" y="21723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2407335</xdr:colOff>
      <xdr:row>19</xdr:row>
      <xdr:rowOff>50460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70" name="Encre 69">
              <a:extLst>
                <a:ext uri="{FF2B5EF4-FFF2-40B4-BE49-F238E27FC236}">
                  <a16:creationId xmlns:a16="http://schemas.microsoft.com/office/drawing/2014/main" id="{00000000-0008-0000-0300-000046000000}"/>
                </a:ext>
              </a:extLst>
            </xdr14:cNvPr>
            <xdr14:cNvContentPartPr/>
          </xdr14:nvContentPartPr>
          <xdr14:nvPr macro=""/>
          <xdr14:xfrm>
            <a:off x="13503960" y="2984160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2F066EE-1214-47A7-B39F-6CAC67C03621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495320" y="29755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1321020</xdr:colOff>
      <xdr:row>19</xdr:row>
      <xdr:rowOff>24900</xdr:rowOff>
    </xdr:from>
    <xdr:ext cx="2520" cy="54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71" name="Encre 70">
              <a:extLst>
                <a:ext uri="{FF2B5EF4-FFF2-40B4-BE49-F238E27FC236}">
                  <a16:creationId xmlns:a16="http://schemas.microsoft.com/office/drawing/2014/main" id="{00000000-0008-0000-0300-000047000000}"/>
                </a:ext>
              </a:extLst>
            </xdr14:cNvPr>
            <xdr14:cNvContentPartPr/>
          </xdr14:nvContentPartPr>
          <xdr14:nvPr macro=""/>
          <xdr14:xfrm>
            <a:off x="12417645" y="2958600"/>
            <a:ext cx="2520" cy="540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B9C9B7B-E7DC-472B-AE35-6894FE103B8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407565" y="2949960"/>
              <a:ext cx="23100" cy="230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1341735</xdr:colOff>
      <xdr:row>19</xdr:row>
      <xdr:rowOff>152145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72" name="Encre 71">
              <a:extLst>
                <a:ext uri="{FF2B5EF4-FFF2-40B4-BE49-F238E27FC236}">
                  <a16:creationId xmlns:a16="http://schemas.microsoft.com/office/drawing/2014/main" id="{00000000-0008-0000-0300-000048000000}"/>
                </a:ext>
              </a:extLst>
            </xdr14:cNvPr>
            <xdr14:cNvContentPartPr/>
          </xdr14:nvContentPartPr>
          <xdr14:nvPr macro=""/>
          <xdr14:xfrm>
            <a:off x="12438360" y="2847720"/>
            <a:ext cx="360" cy="360"/>
          </xdr14:xfrm>
        </xdr:contentPart>
      </mc:Choice>
      <mc:Fallback xmlns="">
        <xdr:pic>
          <xdr:nvPicPr>
            <xdr:cNvPr id="4" name="Encre 3">
              <a:extLst>
                <a:ext uri="{FF2B5EF4-FFF2-40B4-BE49-F238E27FC236}">
                  <a16:creationId xmlns:a16="http://schemas.microsoft.com/office/drawing/2014/main" id="{603ACCC0-CAF4-3A34-6F41-18E2AB8537D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29720" y="2839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1318695</xdr:colOff>
      <xdr:row>19</xdr:row>
      <xdr:rowOff>176265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73" name="Encre 72">
              <a:extLst>
                <a:ext uri="{FF2B5EF4-FFF2-40B4-BE49-F238E27FC236}">
                  <a16:creationId xmlns:a16="http://schemas.microsoft.com/office/drawing/2014/main" id="{00000000-0008-0000-0300-000049000000}"/>
                </a:ext>
              </a:extLst>
            </xdr14:cNvPr>
            <xdr14:cNvContentPartPr/>
          </xdr14:nvContentPartPr>
          <xdr14:nvPr macro=""/>
          <xdr14:xfrm>
            <a:off x="12415320" y="2871840"/>
            <a:ext cx="360" cy="360"/>
          </xdr14:xfrm>
        </xdr:contentPart>
      </mc:Choice>
      <mc:Fallback xmlns="">
        <xdr:pic>
          <xdr:nvPicPr>
            <xdr:cNvPr id="5" name="Encre 4">
              <a:extLst>
                <a:ext uri="{FF2B5EF4-FFF2-40B4-BE49-F238E27FC236}">
                  <a16:creationId xmlns:a16="http://schemas.microsoft.com/office/drawing/2014/main" id="{39E06AC9-3D89-5AAB-A3E4-28BC8B5DD04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06680" y="28632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1327125</xdr:colOff>
      <xdr:row>19</xdr:row>
      <xdr:rowOff>129465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74" name="Encre 73">
              <a:extLst>
                <a:ext uri="{FF2B5EF4-FFF2-40B4-BE49-F238E27FC236}">
                  <a16:creationId xmlns:a16="http://schemas.microsoft.com/office/drawing/2014/main" id="{00000000-0008-0000-0300-00004A000000}"/>
                </a:ext>
              </a:extLst>
            </xdr14:cNvPr>
            <xdr14:cNvContentPartPr/>
          </xdr14:nvContentPartPr>
          <xdr14:nvPr macro=""/>
          <xdr14:xfrm>
            <a:off x="12423750" y="2825040"/>
            <a:ext cx="3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4F444503-B804-4615-BB91-BDE09C00D6F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414750" y="28160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1461405</xdr:colOff>
      <xdr:row>19</xdr:row>
      <xdr:rowOff>87705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75" name="Encre 74">
              <a:extLst>
                <a:ext uri="{FF2B5EF4-FFF2-40B4-BE49-F238E27FC236}">
                  <a16:creationId xmlns:a16="http://schemas.microsoft.com/office/drawing/2014/main" id="{00000000-0008-0000-0300-00004B000000}"/>
                </a:ext>
              </a:extLst>
            </xdr14:cNvPr>
            <xdr14:cNvContentPartPr/>
          </xdr14:nvContentPartPr>
          <xdr14:nvPr macro=""/>
          <xdr14:xfrm>
            <a:off x="12558030" y="2783280"/>
            <a:ext cx="360" cy="36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658072-17D0-4CEA-A5B8-72ED8F8CA351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549030" y="27746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2613975</xdr:colOff>
      <xdr:row>19</xdr:row>
      <xdr:rowOff>15510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76" name="Encre 75">
              <a:extLst>
                <a:ext uri="{FF2B5EF4-FFF2-40B4-BE49-F238E27FC236}">
                  <a16:creationId xmlns:a16="http://schemas.microsoft.com/office/drawing/2014/main" id="{00000000-0008-0000-0300-00004C000000}"/>
                </a:ext>
              </a:extLst>
            </xdr14:cNvPr>
            <xdr14:cNvContentPartPr/>
          </xdr14:nvContentPartPr>
          <xdr14:nvPr macro=""/>
          <xdr14:xfrm>
            <a:off x="13710600" y="2472960"/>
            <a:ext cx="360" cy="360"/>
          </xdr14:xfrm>
        </xdr:contentPart>
      </mc:Choice>
      <mc:Fallback xmlns="">
        <xdr:pic>
          <xdr:nvPicPr>
            <xdr:cNvPr id="2" name="Encre 1">
              <a:extLst>
                <a:ext uri="{FF2B5EF4-FFF2-40B4-BE49-F238E27FC236}">
                  <a16:creationId xmlns:a16="http://schemas.microsoft.com/office/drawing/2014/main" id="{F859AB5C-CE9D-6C1B-2A22-AABD975FE07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701600" y="24639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1761135</xdr:colOff>
      <xdr:row>19</xdr:row>
      <xdr:rowOff>199800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77" name="Encre 76">
              <a:extLst>
                <a:ext uri="{FF2B5EF4-FFF2-40B4-BE49-F238E27FC236}">
                  <a16:creationId xmlns:a16="http://schemas.microsoft.com/office/drawing/2014/main" id="{00000000-0008-0000-0300-00004D000000}"/>
                </a:ext>
              </a:extLst>
            </xdr14:cNvPr>
            <xdr14:cNvContentPartPr/>
          </xdr14:nvContentPartPr>
          <xdr14:nvPr macro=""/>
          <xdr14:xfrm>
            <a:off x="12857760" y="2181000"/>
            <a:ext cx="360" cy="360"/>
          </xdr14:xfrm>
        </xdr:contentPart>
      </mc:Choice>
      <mc:Fallback xmlns="">
        <xdr:pic>
          <xdr:nvPicPr>
            <xdr:cNvPr id="3" name="Encre 2">
              <a:extLst>
                <a:ext uri="{FF2B5EF4-FFF2-40B4-BE49-F238E27FC236}">
                  <a16:creationId xmlns:a16="http://schemas.microsoft.com/office/drawing/2014/main" id="{6C4814E4-CF8E-DE27-A4CE-07FFBC4A59D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848760" y="21723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lb_/Downloads/KMRS%20board-calendrier%20202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jectif"/>
      <sheetName val="Recap"/>
      <sheetName val="Calendrier"/>
      <sheetName val="Dispo"/>
      <sheetName val="Data"/>
      <sheetName val="Points"/>
      <sheetName val="Simulateur"/>
    </sheetNames>
    <sheetDataSet>
      <sheetData sheetId="0"/>
      <sheetData sheetId="1"/>
      <sheetData sheetId="2"/>
      <sheetData sheetId="3"/>
      <sheetData sheetId="4">
        <row r="28">
          <cell r="J28">
            <v>1</v>
          </cell>
          <cell r="K28">
            <v>0</v>
          </cell>
        </row>
        <row r="29">
          <cell r="J29">
            <v>2</v>
          </cell>
          <cell r="K29">
            <v>10</v>
          </cell>
        </row>
        <row r="30">
          <cell r="J30">
            <v>3</v>
          </cell>
          <cell r="K30">
            <v>10</v>
          </cell>
        </row>
        <row r="31">
          <cell r="J31">
            <v>4</v>
          </cell>
          <cell r="K31">
            <v>20</v>
          </cell>
        </row>
        <row r="32">
          <cell r="J32">
            <v>5</v>
          </cell>
          <cell r="K32">
            <v>20</v>
          </cell>
        </row>
        <row r="33">
          <cell r="J33">
            <v>6</v>
          </cell>
          <cell r="K33">
            <v>20</v>
          </cell>
        </row>
        <row r="34">
          <cell r="J34">
            <v>7</v>
          </cell>
          <cell r="K34">
            <v>40</v>
          </cell>
        </row>
        <row r="35">
          <cell r="J35">
            <v>8</v>
          </cell>
          <cell r="K35">
            <v>40</v>
          </cell>
        </row>
        <row r="36">
          <cell r="J36">
            <v>9</v>
          </cell>
          <cell r="K36">
            <v>40</v>
          </cell>
        </row>
        <row r="37">
          <cell r="J37">
            <v>10</v>
          </cell>
          <cell r="K37">
            <v>60</v>
          </cell>
        </row>
        <row r="38">
          <cell r="J38">
            <v>11</v>
          </cell>
          <cell r="K38">
            <v>60</v>
          </cell>
        </row>
        <row r="39">
          <cell r="J39">
            <v>12</v>
          </cell>
          <cell r="K39">
            <v>60</v>
          </cell>
        </row>
        <row r="40">
          <cell r="J40">
            <v>13</v>
          </cell>
          <cell r="K40">
            <v>80</v>
          </cell>
        </row>
        <row r="41">
          <cell r="J41">
            <v>14</v>
          </cell>
          <cell r="K41">
            <v>80</v>
          </cell>
        </row>
        <row r="42">
          <cell r="J42">
            <v>15</v>
          </cell>
          <cell r="K42">
            <v>80</v>
          </cell>
        </row>
        <row r="43">
          <cell r="J43">
            <v>16</v>
          </cell>
          <cell r="K43">
            <v>100</v>
          </cell>
        </row>
        <row r="44">
          <cell r="J44">
            <v>17</v>
          </cell>
          <cell r="K44">
            <v>100</v>
          </cell>
        </row>
        <row r="45">
          <cell r="J45">
            <v>18</v>
          </cell>
          <cell r="K45">
            <v>100</v>
          </cell>
        </row>
        <row r="46">
          <cell r="J46">
            <v>19</v>
          </cell>
          <cell r="K46">
            <v>120</v>
          </cell>
        </row>
        <row r="47">
          <cell r="J47">
            <v>20</v>
          </cell>
          <cell r="K47">
            <v>120</v>
          </cell>
        </row>
        <row r="48">
          <cell r="J48">
            <v>21</v>
          </cell>
          <cell r="K48">
            <v>120</v>
          </cell>
        </row>
        <row r="49">
          <cell r="J49">
            <v>22</v>
          </cell>
          <cell r="K49">
            <v>140</v>
          </cell>
        </row>
        <row r="50">
          <cell r="J50">
            <v>23</v>
          </cell>
          <cell r="K50">
            <v>140</v>
          </cell>
        </row>
        <row r="51">
          <cell r="J51">
            <v>24</v>
          </cell>
          <cell r="K51">
            <v>140</v>
          </cell>
        </row>
        <row r="52">
          <cell r="J52">
            <v>25</v>
          </cell>
          <cell r="K52">
            <v>160</v>
          </cell>
        </row>
      </sheetData>
      <sheetData sheetId="5"/>
      <sheetData sheetId="6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0 0 21599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0 1 22855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7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1 1 14616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7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1 1 19271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7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1 1 17175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18463,'0'0'-13367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0 1 21335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1 1 19183</inkml:trace>
  <inkml:trace contextRef="#ctx0" brushRef="#br0" timeOffset="1">6 15 25303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0 0 21599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0 1 22855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0 0 21599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0 1 22855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0 0 21599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8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0 1 22855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1 1 14616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1 1 19271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18463,'0'0'-13367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0 1 21335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0 0 21599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0 1 22855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1 1 17175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1 1 19183</inkml:trace>
  <inkml:trace contextRef="#ctx0" brushRef="#br0" timeOffset="1">6 15 25303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9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1 1 14616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1 1 19271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18463,'0'0'-13367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0 1 21335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49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0 0 21599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0 1 22855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1 1 17175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1 1 19183</inkml:trace>
  <inkml:trace contextRef="#ctx0" brushRef="#br0" timeOffset="1">6 15 25303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1 1 14616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1 1 19271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18463,'0'0'-13367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0 1 21335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0 0 21599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0 1 22855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1 1 17175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1 1 19183</inkml:trace>
  <inkml:trace contextRef="#ctx0" brushRef="#br0" timeOffset="1">6 15 25303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1 1 14616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1 1 19271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18463,'0'0'-13367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0 1 21335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0 0 21599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0 1 22855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1 1 17175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1 1 19183</inkml:trace>
  <inkml:trace contextRef="#ctx0" brushRef="#br0" timeOffset="1">6 15 25303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1 1 14616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1 1 19271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18463,'0'0'-13367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0 1 21335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0 0 21599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0 1 22855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1 1 17175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1 1 19183</inkml:trace>
  <inkml:trace contextRef="#ctx0" brushRef="#br0" timeOffset="1">6 15 25303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1 1 14616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3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1 1 19271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18463,'0'0'-13367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0 1 21335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0 0 21599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0 1 22855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1 1 17175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1 1 19183</inkml:trace>
  <inkml:trace contextRef="#ctx0" brushRef="#br0" timeOffset="1">6 15 25303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4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1 1 14616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1 1 19271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18463,'0'0'-13367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4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0 1 21335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0 0 21599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0 1 22855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1 1 17175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1 1 19183</inkml:trace>
  <inkml:trace contextRef="#ctx0" brushRef="#br0" timeOffset="1">6 15 25303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1 1 14616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1 1 19271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18463,'0'0'-13367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0 1 21335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5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0 0 21599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5-20T16:07:25.5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0 1 22855</inkml:trace>
</inkml: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beert_Samuel" refreshedDate="45799.433746759256" createdVersion="6" refreshedVersion="6" minRefreshableVersion="3" recordCount="49" xr:uid="{3E88A049-E6FE-4897-B22C-A5B661B538FD}">
  <cacheSource type="worksheet">
    <worksheetSource name="Tableau1"/>
  </cacheSource>
  <cacheFields count="18">
    <cacheField name="Stint #" numFmtId="1">
      <sharedItems containsSemiMixedTypes="0" containsString="0" containsNumber="1" containsInteger="1" minValue="1" maxValue="49"/>
    </cacheField>
    <cacheField name="Chrono" numFmtId="0">
      <sharedItems/>
    </cacheField>
    <cacheField name="Chrono 2" numFmtId="0">
      <sharedItems/>
    </cacheField>
    <cacheField name="Pilotes" numFmtId="0">
      <sharedItems containsNonDate="0" containsBlank="1" count="12">
        <m/>
        <s v="Lucas" u="1"/>
        <s v="Sam" u="1"/>
        <s v="Thomas" u="1"/>
        <s v="Baptiste" u="1"/>
        <s v="Samuel" u="1"/>
        <s v="Quentin" u="1"/>
        <s v="Quentin L" u="1"/>
        <s v="Quentin R" u="1"/>
        <s v="Antoine" u="1"/>
        <s v="Sacha" u="1"/>
        <s v="Alexandre" u="1"/>
      </sharedItems>
    </cacheField>
    <cacheField name="Stint raw value" numFmtId="49">
      <sharedItems containsNonDate="0" containsString="0" containsBlank="1"/>
    </cacheField>
    <cacheField name="Stint in seconds" numFmtId="0">
      <sharedItems/>
    </cacheField>
    <cacheField name="Stint in minutes" numFmtId="0">
      <sharedItems/>
    </cacheField>
    <cacheField name="Time Margin" numFmtId="0">
      <sharedItems/>
    </cacheField>
    <cacheField name="Helper" numFmtId="0">
      <sharedItems/>
    </cacheField>
    <cacheField name="Pitstop" numFmtId="49">
      <sharedItems containsNonDate="0" containsString="0" containsBlank="1"/>
    </cacheField>
    <cacheField name="Pitstop seconds" numFmtId="0">
      <sharedItems/>
    </cacheField>
    <cacheField name="Pitstop minutes" numFmtId="0">
      <sharedItems/>
    </cacheField>
    <cacheField name="Pit In" numFmtId="49">
      <sharedItems containsNonDate="0" containsString="0" containsBlank="1"/>
    </cacheField>
    <cacheField name="Pit In Seconds" numFmtId="0">
      <sharedItems/>
    </cacheField>
    <cacheField name="Pit In Minutes" numFmtId="0">
      <sharedItems/>
    </cacheField>
    <cacheField name="Pit Out" numFmtId="49">
      <sharedItems containsNonDate="0" containsString="0" containsBlank="1"/>
    </cacheField>
    <cacheField name="Pit Out Seconds" numFmtId="0">
      <sharedItems/>
    </cacheField>
    <cacheField name="Pit Out Minu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1"/>
    <e v="#VALUE!"/>
    <e v="#VALUE!"/>
    <x v="0"/>
    <m/>
    <s v=""/>
    <s v=""/>
    <s v=""/>
    <b v="1"/>
    <m/>
    <s v=""/>
    <s v=""/>
    <m/>
    <s v=""/>
    <s v=""/>
    <m/>
    <s v=""/>
    <s v=""/>
  </r>
  <r>
    <n v="2"/>
    <e v="#VALUE!"/>
    <e v="#VALUE!"/>
    <x v="0"/>
    <m/>
    <s v=""/>
    <s v=""/>
    <s v=""/>
    <b v="1"/>
    <m/>
    <s v=""/>
    <s v=""/>
    <m/>
    <s v=""/>
    <s v=""/>
    <m/>
    <s v=""/>
    <s v=""/>
  </r>
  <r>
    <n v="3"/>
    <e v="#VALUE!"/>
    <e v="#VALUE!"/>
    <x v="0"/>
    <m/>
    <s v=""/>
    <s v=""/>
    <s v=""/>
    <b v="1"/>
    <m/>
    <s v=""/>
    <s v=""/>
    <m/>
    <s v=""/>
    <s v=""/>
    <m/>
    <s v=""/>
    <s v=""/>
  </r>
  <r>
    <n v="4"/>
    <e v="#VALUE!"/>
    <e v="#VALUE!"/>
    <x v="0"/>
    <m/>
    <s v=""/>
    <s v=""/>
    <s v=""/>
    <b v="1"/>
    <m/>
    <s v=""/>
    <s v=""/>
    <m/>
    <s v=""/>
    <s v=""/>
    <m/>
    <s v=""/>
    <s v=""/>
  </r>
  <r>
    <n v="5"/>
    <e v="#VALUE!"/>
    <e v="#VALUE!"/>
    <x v="0"/>
    <m/>
    <s v=""/>
    <s v=""/>
    <s v=""/>
    <b v="1"/>
    <m/>
    <s v=""/>
    <s v=""/>
    <m/>
    <s v=""/>
    <s v=""/>
    <m/>
    <s v=""/>
    <s v=""/>
  </r>
  <r>
    <n v="6"/>
    <e v="#VALUE!"/>
    <e v="#VALUE!"/>
    <x v="0"/>
    <m/>
    <s v=""/>
    <s v=""/>
    <s v=""/>
    <b v="1"/>
    <m/>
    <s v=""/>
    <s v=""/>
    <m/>
    <s v=""/>
    <s v=""/>
    <m/>
    <s v=""/>
    <s v=""/>
  </r>
  <r>
    <n v="7"/>
    <e v="#VALUE!"/>
    <e v="#VALUE!"/>
    <x v="0"/>
    <m/>
    <s v=""/>
    <s v=""/>
    <s v=""/>
    <b v="1"/>
    <m/>
    <s v=""/>
    <s v=""/>
    <m/>
    <s v=""/>
    <s v=""/>
    <m/>
    <s v=""/>
    <s v=""/>
  </r>
  <r>
    <n v="8"/>
    <e v="#VALUE!"/>
    <e v="#VALUE!"/>
    <x v="0"/>
    <m/>
    <s v=""/>
    <s v=""/>
    <s v=""/>
    <b v="1"/>
    <m/>
    <s v=""/>
    <s v=""/>
    <m/>
    <s v=""/>
    <s v=""/>
    <m/>
    <s v=""/>
    <s v=""/>
  </r>
  <r>
    <n v="9"/>
    <e v="#VALUE!"/>
    <e v="#VALUE!"/>
    <x v="0"/>
    <m/>
    <s v=""/>
    <s v=""/>
    <s v=""/>
    <b v="1"/>
    <m/>
    <s v=""/>
    <s v=""/>
    <m/>
    <s v=""/>
    <s v=""/>
    <m/>
    <s v=""/>
    <s v=""/>
  </r>
  <r>
    <n v="10"/>
    <e v="#VALUE!"/>
    <e v="#VALUE!"/>
    <x v="0"/>
    <m/>
    <s v=""/>
    <s v=""/>
    <s v=""/>
    <b v="1"/>
    <m/>
    <s v=""/>
    <s v=""/>
    <m/>
    <s v=""/>
    <s v=""/>
    <m/>
    <s v=""/>
    <s v=""/>
  </r>
  <r>
    <n v="11"/>
    <e v="#VALUE!"/>
    <e v="#VALUE!"/>
    <x v="0"/>
    <m/>
    <s v=""/>
    <s v=""/>
    <s v=""/>
    <b v="1"/>
    <m/>
    <s v=""/>
    <s v=""/>
    <m/>
    <s v=""/>
    <s v=""/>
    <m/>
    <s v=""/>
    <s v=""/>
  </r>
  <r>
    <n v="12"/>
    <e v="#VALUE!"/>
    <e v="#VALUE!"/>
    <x v="0"/>
    <m/>
    <s v=""/>
    <s v=""/>
    <s v=""/>
    <b v="1"/>
    <m/>
    <s v=""/>
    <s v=""/>
    <m/>
    <s v=""/>
    <s v=""/>
    <m/>
    <s v=""/>
    <s v=""/>
  </r>
  <r>
    <n v="13"/>
    <e v="#VALUE!"/>
    <e v="#VALUE!"/>
    <x v="0"/>
    <m/>
    <s v=""/>
    <s v=""/>
    <s v=""/>
    <b v="1"/>
    <m/>
    <s v=""/>
    <s v=""/>
    <m/>
    <s v=""/>
    <s v=""/>
    <m/>
    <s v=""/>
    <s v=""/>
  </r>
  <r>
    <n v="14"/>
    <e v="#VALUE!"/>
    <e v="#VALUE!"/>
    <x v="0"/>
    <m/>
    <s v=""/>
    <s v=""/>
    <s v=""/>
    <b v="1"/>
    <m/>
    <s v=""/>
    <s v=""/>
    <m/>
    <s v=""/>
    <s v=""/>
    <m/>
    <s v=""/>
    <s v=""/>
  </r>
  <r>
    <n v="15"/>
    <e v="#VALUE!"/>
    <e v="#VALUE!"/>
    <x v="0"/>
    <m/>
    <s v=""/>
    <s v=""/>
    <s v=""/>
    <b v="1"/>
    <m/>
    <s v=""/>
    <s v=""/>
    <m/>
    <s v=""/>
    <s v=""/>
    <m/>
    <s v=""/>
    <s v=""/>
  </r>
  <r>
    <n v="16"/>
    <e v="#VALUE!"/>
    <e v="#VALUE!"/>
    <x v="0"/>
    <m/>
    <s v=""/>
    <s v=""/>
    <s v=""/>
    <b v="1"/>
    <m/>
    <s v=""/>
    <s v=""/>
    <m/>
    <s v=""/>
    <s v=""/>
    <m/>
    <s v=""/>
    <s v=""/>
  </r>
  <r>
    <n v="17"/>
    <e v="#VALUE!"/>
    <e v="#VALUE!"/>
    <x v="0"/>
    <m/>
    <s v=""/>
    <s v=""/>
    <s v=""/>
    <b v="1"/>
    <m/>
    <s v=""/>
    <s v=""/>
    <m/>
    <s v=""/>
    <s v=""/>
    <m/>
    <s v=""/>
    <s v=""/>
  </r>
  <r>
    <n v="18"/>
    <e v="#VALUE!"/>
    <e v="#VALUE!"/>
    <x v="0"/>
    <m/>
    <s v=""/>
    <s v=""/>
    <s v=""/>
    <b v="1"/>
    <m/>
    <s v=""/>
    <s v=""/>
    <m/>
    <s v=""/>
    <s v=""/>
    <m/>
    <s v=""/>
    <s v=""/>
  </r>
  <r>
    <n v="19"/>
    <e v="#VALUE!"/>
    <e v="#VALUE!"/>
    <x v="0"/>
    <m/>
    <s v=""/>
    <s v=""/>
    <s v=""/>
    <b v="1"/>
    <m/>
    <s v=""/>
    <s v=""/>
    <m/>
    <s v=""/>
    <s v=""/>
    <m/>
    <s v=""/>
    <s v=""/>
  </r>
  <r>
    <n v="20"/>
    <e v="#VALUE!"/>
    <e v="#VALUE!"/>
    <x v="0"/>
    <m/>
    <s v=""/>
    <s v=""/>
    <s v=""/>
    <b v="1"/>
    <m/>
    <s v=""/>
    <s v=""/>
    <m/>
    <s v=""/>
    <s v=""/>
    <m/>
    <s v=""/>
    <s v=""/>
  </r>
  <r>
    <n v="21"/>
    <e v="#VALUE!"/>
    <e v="#VALUE!"/>
    <x v="0"/>
    <m/>
    <s v=""/>
    <s v=""/>
    <s v=""/>
    <b v="1"/>
    <m/>
    <s v=""/>
    <s v=""/>
    <m/>
    <s v=""/>
    <s v=""/>
    <m/>
    <s v=""/>
    <s v=""/>
  </r>
  <r>
    <n v="22"/>
    <e v="#VALUE!"/>
    <e v="#VALUE!"/>
    <x v="0"/>
    <m/>
    <s v=""/>
    <s v=""/>
    <s v=""/>
    <b v="1"/>
    <m/>
    <s v=""/>
    <s v=""/>
    <m/>
    <s v=""/>
    <s v=""/>
    <m/>
    <s v=""/>
    <s v=""/>
  </r>
  <r>
    <n v="23"/>
    <e v="#VALUE!"/>
    <e v="#VALUE!"/>
    <x v="0"/>
    <m/>
    <s v=""/>
    <s v=""/>
    <s v=""/>
    <b v="1"/>
    <m/>
    <s v=""/>
    <s v=""/>
    <m/>
    <s v=""/>
    <s v=""/>
    <m/>
    <s v=""/>
    <s v=""/>
  </r>
  <r>
    <n v="24"/>
    <e v="#VALUE!"/>
    <e v="#VALUE!"/>
    <x v="0"/>
    <m/>
    <s v=""/>
    <s v=""/>
    <s v=""/>
    <b v="1"/>
    <m/>
    <s v=""/>
    <s v=""/>
    <m/>
    <s v=""/>
    <s v=""/>
    <m/>
    <s v=""/>
    <s v=""/>
  </r>
  <r>
    <n v="25"/>
    <e v="#VALUE!"/>
    <e v="#VALUE!"/>
    <x v="0"/>
    <m/>
    <s v=""/>
    <s v=""/>
    <s v=""/>
    <b v="1"/>
    <m/>
    <s v=""/>
    <s v=""/>
    <m/>
    <s v=""/>
    <s v=""/>
    <m/>
    <s v=""/>
    <s v=""/>
  </r>
  <r>
    <n v="26"/>
    <e v="#VALUE!"/>
    <e v="#VALUE!"/>
    <x v="0"/>
    <m/>
    <s v=""/>
    <s v=""/>
    <s v=""/>
    <b v="1"/>
    <m/>
    <s v=""/>
    <s v=""/>
    <m/>
    <s v=""/>
    <s v=""/>
    <m/>
    <s v=""/>
    <s v=""/>
  </r>
  <r>
    <n v="27"/>
    <e v="#VALUE!"/>
    <e v="#VALUE!"/>
    <x v="0"/>
    <m/>
    <s v=""/>
    <s v=""/>
    <s v=""/>
    <b v="1"/>
    <m/>
    <s v=""/>
    <s v=""/>
    <m/>
    <s v=""/>
    <s v=""/>
    <m/>
    <s v=""/>
    <s v=""/>
  </r>
  <r>
    <n v="28"/>
    <e v="#VALUE!"/>
    <e v="#VALUE!"/>
    <x v="0"/>
    <m/>
    <s v=""/>
    <s v=""/>
    <s v=""/>
    <b v="1"/>
    <m/>
    <s v=""/>
    <s v=""/>
    <m/>
    <s v=""/>
    <s v=""/>
    <m/>
    <s v=""/>
    <s v=""/>
  </r>
  <r>
    <n v="29"/>
    <e v="#VALUE!"/>
    <e v="#VALUE!"/>
    <x v="0"/>
    <m/>
    <s v=""/>
    <s v=""/>
    <s v=""/>
    <b v="1"/>
    <m/>
    <s v=""/>
    <s v=""/>
    <m/>
    <s v=""/>
    <s v=""/>
    <m/>
    <s v=""/>
    <s v=""/>
  </r>
  <r>
    <n v="30"/>
    <e v="#VALUE!"/>
    <e v="#VALUE!"/>
    <x v="0"/>
    <m/>
    <s v=""/>
    <s v=""/>
    <s v=""/>
    <b v="1"/>
    <m/>
    <s v=""/>
    <s v=""/>
    <m/>
    <s v=""/>
    <s v=""/>
    <m/>
    <s v=""/>
    <s v=""/>
  </r>
  <r>
    <n v="31"/>
    <e v="#VALUE!"/>
    <e v="#VALUE!"/>
    <x v="0"/>
    <m/>
    <s v=""/>
    <s v=""/>
    <s v=""/>
    <b v="1"/>
    <m/>
    <s v=""/>
    <s v=""/>
    <m/>
    <s v=""/>
    <s v=""/>
    <m/>
    <s v=""/>
    <s v=""/>
  </r>
  <r>
    <n v="32"/>
    <e v="#VALUE!"/>
    <e v="#VALUE!"/>
    <x v="0"/>
    <m/>
    <s v=""/>
    <s v=""/>
    <s v=""/>
    <b v="1"/>
    <m/>
    <s v=""/>
    <s v=""/>
    <m/>
    <s v=""/>
    <s v=""/>
    <m/>
    <s v=""/>
    <s v=""/>
  </r>
  <r>
    <n v="33"/>
    <e v="#VALUE!"/>
    <e v="#VALUE!"/>
    <x v="0"/>
    <m/>
    <s v=""/>
    <s v=""/>
    <s v=""/>
    <b v="1"/>
    <m/>
    <s v=""/>
    <s v=""/>
    <m/>
    <s v=""/>
    <s v=""/>
    <m/>
    <s v=""/>
    <s v=""/>
  </r>
  <r>
    <n v="34"/>
    <e v="#VALUE!"/>
    <e v="#VALUE!"/>
    <x v="0"/>
    <m/>
    <s v=""/>
    <s v=""/>
    <s v=""/>
    <b v="1"/>
    <m/>
    <s v=""/>
    <s v=""/>
    <m/>
    <s v=""/>
    <s v=""/>
    <m/>
    <s v=""/>
    <s v=""/>
  </r>
  <r>
    <n v="35"/>
    <e v="#VALUE!"/>
    <e v="#VALUE!"/>
    <x v="0"/>
    <m/>
    <s v=""/>
    <s v=""/>
    <s v=""/>
    <b v="1"/>
    <m/>
    <s v=""/>
    <s v=""/>
    <m/>
    <s v=""/>
    <s v=""/>
    <m/>
    <s v=""/>
    <s v=""/>
  </r>
  <r>
    <n v="36"/>
    <e v="#VALUE!"/>
    <e v="#VALUE!"/>
    <x v="0"/>
    <m/>
    <s v=""/>
    <s v=""/>
    <s v=""/>
    <b v="1"/>
    <m/>
    <s v=""/>
    <s v=""/>
    <m/>
    <s v=""/>
    <s v=""/>
    <m/>
    <s v=""/>
    <s v=""/>
  </r>
  <r>
    <n v="37"/>
    <e v="#VALUE!"/>
    <e v="#VALUE!"/>
    <x v="0"/>
    <m/>
    <s v=""/>
    <s v=""/>
    <s v=""/>
    <b v="1"/>
    <m/>
    <s v=""/>
    <s v=""/>
    <m/>
    <s v=""/>
    <s v=""/>
    <m/>
    <s v=""/>
    <s v=""/>
  </r>
  <r>
    <n v="38"/>
    <e v="#VALUE!"/>
    <e v="#VALUE!"/>
    <x v="0"/>
    <m/>
    <s v=""/>
    <s v=""/>
    <s v=""/>
    <b v="1"/>
    <m/>
    <s v=""/>
    <s v=""/>
    <m/>
    <s v=""/>
    <s v=""/>
    <m/>
    <s v=""/>
    <s v=""/>
  </r>
  <r>
    <n v="39"/>
    <e v="#VALUE!"/>
    <e v="#VALUE!"/>
    <x v="0"/>
    <m/>
    <s v=""/>
    <s v=""/>
    <s v=""/>
    <b v="1"/>
    <m/>
    <s v=""/>
    <s v=""/>
    <m/>
    <s v=""/>
    <s v=""/>
    <m/>
    <s v=""/>
    <s v=""/>
  </r>
  <r>
    <n v="40"/>
    <e v="#VALUE!"/>
    <e v="#VALUE!"/>
    <x v="0"/>
    <m/>
    <s v=""/>
    <s v=""/>
    <s v=""/>
    <b v="1"/>
    <m/>
    <s v=""/>
    <s v=""/>
    <m/>
    <s v=""/>
    <s v=""/>
    <m/>
    <s v=""/>
    <s v=""/>
  </r>
  <r>
    <n v="41"/>
    <e v="#VALUE!"/>
    <e v="#VALUE!"/>
    <x v="0"/>
    <m/>
    <s v=""/>
    <s v=""/>
    <s v=""/>
    <b v="1"/>
    <m/>
    <s v=""/>
    <s v=""/>
    <m/>
    <s v=""/>
    <s v=""/>
    <m/>
    <s v=""/>
    <s v=""/>
  </r>
  <r>
    <n v="42"/>
    <e v="#VALUE!"/>
    <e v="#VALUE!"/>
    <x v="0"/>
    <m/>
    <s v=""/>
    <s v=""/>
    <s v=""/>
    <b v="1"/>
    <m/>
    <s v=""/>
    <s v=""/>
    <m/>
    <s v=""/>
    <s v=""/>
    <m/>
    <s v=""/>
    <s v=""/>
  </r>
  <r>
    <n v="43"/>
    <e v="#VALUE!"/>
    <e v="#VALUE!"/>
    <x v="0"/>
    <m/>
    <s v=""/>
    <s v=""/>
    <s v=""/>
    <b v="1"/>
    <m/>
    <s v=""/>
    <s v=""/>
    <m/>
    <s v=""/>
    <s v=""/>
    <m/>
    <s v=""/>
    <s v=""/>
  </r>
  <r>
    <n v="44"/>
    <e v="#VALUE!"/>
    <e v="#VALUE!"/>
    <x v="0"/>
    <m/>
    <s v=""/>
    <s v=""/>
    <s v=""/>
    <b v="1"/>
    <m/>
    <s v=""/>
    <s v=""/>
    <m/>
    <s v=""/>
    <s v=""/>
    <m/>
    <s v=""/>
    <s v=""/>
  </r>
  <r>
    <n v="45"/>
    <e v="#VALUE!"/>
    <e v="#VALUE!"/>
    <x v="0"/>
    <m/>
    <s v=""/>
    <s v=""/>
    <s v=""/>
    <b v="1"/>
    <m/>
    <s v=""/>
    <s v=""/>
    <m/>
    <s v=""/>
    <s v=""/>
    <m/>
    <s v=""/>
    <s v=""/>
  </r>
  <r>
    <n v="46"/>
    <e v="#VALUE!"/>
    <e v="#VALUE!"/>
    <x v="0"/>
    <m/>
    <s v=""/>
    <s v=""/>
    <s v=""/>
    <b v="1"/>
    <m/>
    <s v=""/>
    <s v=""/>
    <m/>
    <s v=""/>
    <s v=""/>
    <m/>
    <s v=""/>
    <s v=""/>
  </r>
  <r>
    <n v="47"/>
    <e v="#VALUE!"/>
    <e v="#VALUE!"/>
    <x v="0"/>
    <m/>
    <s v=""/>
    <s v=""/>
    <s v=""/>
    <b v="1"/>
    <m/>
    <s v=""/>
    <s v=""/>
    <m/>
    <s v=""/>
    <s v=""/>
    <m/>
    <s v=""/>
    <s v=""/>
  </r>
  <r>
    <n v="48"/>
    <e v="#VALUE!"/>
    <e v="#VALUE!"/>
    <x v="0"/>
    <m/>
    <s v=""/>
    <s v=""/>
    <s v=""/>
    <b v="1"/>
    <m/>
    <s v=""/>
    <s v=""/>
    <m/>
    <s v=""/>
    <s v=""/>
    <m/>
    <s v=""/>
    <s v=""/>
  </r>
  <r>
    <n v="49"/>
    <e v="#VALUE!"/>
    <e v="#VALUE!"/>
    <x v="0"/>
    <m/>
    <s v=""/>
    <s v=""/>
    <s v=""/>
    <b v="1"/>
    <m/>
    <s v=""/>
    <s v=""/>
    <m/>
    <s v=""/>
    <s v=""/>
    <m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9E5CE0-1D33-412A-878A-EF7CAB420789}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rowHeaderCaption="Pilotes">
  <location ref="A1:J2" firstHeaderRow="0" firstDataRow="1" firstDataCol="1"/>
  <pivotFields count="18">
    <pivotField showAll="0"/>
    <pivotField showAll="0"/>
    <pivotField showAll="0"/>
    <pivotField axis="axisRow" showAll="0">
      <items count="13">
        <item h="1" m="1" x="2"/>
        <item h="1" m="1" x="1"/>
        <item h="1" m="1" x="9"/>
        <item h="1" m="1" x="4"/>
        <item h="1" m="1" x="6"/>
        <item h="1" x="0"/>
        <item m="1" x="3"/>
        <item m="1" x="5"/>
        <item m="1" x="11"/>
        <item m="1" x="8"/>
        <item m="1" x="7"/>
        <item m="1" x="10"/>
        <item t="default"/>
      </items>
    </pivotField>
    <pivotField dataField="1" showAll="0"/>
    <pivotField showAll="0"/>
    <pivotField dataField="1" showAll="0"/>
    <pivotField showAll="0"/>
    <pivotField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</pivotFields>
  <rowFields count="1">
    <field x="3"/>
  </rowFields>
  <rowItems count="1"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tints" fld="4" subtotal="count" baseField="3" baseItem="1"/>
    <dataField name="Temps Relais" fld="6" baseField="3" baseItem="1"/>
    <dataField name="Temps Relais Min" fld="6" subtotal="min" baseField="3" baseItem="1" numFmtId="164"/>
    <dataField name="Temps Relais Max" fld="6" subtotal="max" baseField="3" baseItem="1" numFmtId="164"/>
    <dataField name="Temps Relais Moyen" fld="6" subtotal="average" baseField="3" baseItem="1" numFmtId="165"/>
    <dataField name="Moyenne de Pitstop minutes" fld="11" subtotal="average" baseField="3" baseItem="1" numFmtId="164"/>
    <dataField name="Nombre de Pit In Minutes" fld="14" subtotal="count" baseField="0" baseItem="0"/>
    <dataField name="Nombre de Pit Out Minutes" fld="17" subtotal="count" baseField="0" baseItem="0"/>
    <dataField name="Somme de Pitstop" fld="9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6CB759-3986-4A0B-8B6E-2F9F402D388D}" name="Stints" displayName="Stints" ref="L2:S37" totalsRowShown="0" headerRowDxfId="49" dataDxfId="47" headerRowBorderDxfId="48" tableBorderDxfId="46" totalsRowBorderDxfId="45">
  <autoFilter ref="L2:S37" xr:uid="{0822FC09-529B-4CFA-8833-EA20AA7EEEDE}"/>
  <sortState xmlns:xlrd2="http://schemas.microsoft.com/office/spreadsheetml/2017/richdata2" ref="L3:S37">
    <sortCondition descending="1" ref="S3:S37"/>
    <sortCondition descending="1" ref="L3:L37"/>
  </sortState>
  <tableColumns count="8">
    <tableColumn id="1" xr3:uid="{0C5C59B4-FE15-4949-BBE8-44B9315D96B7}" name="Stint #" dataDxfId="44">
      <calculatedColumnFormula>IF('Stints List'!$I2,"",'Stints List'!$A2)</calculatedColumnFormula>
    </tableColumn>
    <tableColumn id="2" xr3:uid="{1FA74CCD-2047-4BF0-BB06-C97E3FE0E3A7}" name="Time Remaining" dataDxfId="43">
      <calculatedColumnFormula>IF('Stints List'!$I2,"",'Stints List'!$B2)</calculatedColumnFormula>
    </tableColumn>
    <tableColumn id="4" xr3:uid="{035EC7D2-7C73-4410-ADF0-BD71080A5848}" name="Pilote" dataDxfId="42">
      <calculatedColumnFormula>IF('Stints List'!$I2,"",'Stints List'!$D2)</calculatedColumnFormula>
    </tableColumn>
    <tableColumn id="3" xr3:uid="{5545922D-5A72-44EE-AF0C-D6F2EAD30BE5}" name="Stint Duration" dataDxfId="41">
      <calculatedColumnFormula>IF('Stints List'!$I2,"",'Stints List'!$E2)</calculatedColumnFormula>
    </tableColumn>
    <tableColumn id="5" xr3:uid="{9F09FD89-53D8-4947-8A36-329BD2AC7FB2}" name="Pit" dataDxfId="40">
      <calculatedColumnFormula>IF('Stints List'!$I2,"",'Stints List'!$J2)</calculatedColumnFormula>
    </tableColumn>
    <tableColumn id="6" xr3:uid="{ABF46446-EB0B-4082-872E-1C135DF418A3}" name="Pit In" dataDxfId="39">
      <calculatedColumnFormula>IF('Stints List'!$I2,"",'Stints List'!$M2)</calculatedColumnFormula>
    </tableColumn>
    <tableColumn id="7" xr3:uid="{FE75B9EF-2F2E-4735-8FC9-FB6F82E66428}" name="Pit Out" dataDxfId="38">
      <calculatedColumnFormula>IF('Stints List'!$I2,"",'Stints List'!$P2)</calculatedColumnFormula>
    </tableColumn>
    <tableColumn id="8" xr3:uid="{DEE2BFE5-759E-45E8-8E03-2378A703D64F}" name="Sort" dataDxfId="37">
      <calculatedColumnFormula>IFERROR(
   IF(Stints[[#This Row],[Stint '#]]&lt;&gt;"", 1, 0),
   0
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BA06AF-7799-4845-A915-1C6AFD1F0B81}" name="Tableau2" displayName="Tableau2" ref="A1:J1048532" totalsRowShown="0" headerRowDxfId="36" dataDxfId="35">
  <autoFilter ref="A1:J1048532" xr:uid="{52A0DE3B-966A-4E91-8BC3-403FC5FEC938}"/>
  <tableColumns count="10">
    <tableColumn id="1" xr3:uid="{D55BAAB7-6456-4C1F-A89C-A59AC727BA25}" name="Colonne1" dataDxfId="34"/>
    <tableColumn id="2" xr3:uid="{2085F8C0-F8FE-4042-A9F5-A33BAF6328F7}" name="Colonne2" dataDxfId="33"/>
    <tableColumn id="3" xr3:uid="{A4500571-2861-4E20-90F0-900B215976CB}" name="Colonne3" dataDxfId="32"/>
    <tableColumn id="4" xr3:uid="{457A0E3A-34A0-4436-BB34-D5B444925141}" name="Colonne4" dataDxfId="31"/>
    <tableColumn id="5" xr3:uid="{A25D3347-E016-4615-86E6-C46BF816CB9C}" name="Colonne5" dataDxfId="30"/>
    <tableColumn id="6" xr3:uid="{B225543A-26CB-4807-8B20-E472BABE00B1}" name="Colonne6" dataDxfId="29"/>
    <tableColumn id="7" xr3:uid="{33F130F4-6F99-4937-80E7-731C5E512168}" name="Colonne7" dataDxfId="28"/>
    <tableColumn id="8" xr3:uid="{E1E9178E-8538-4A0B-AE29-D729D454E6B0}" name="Colonne8" dataDxfId="27"/>
    <tableColumn id="9" xr3:uid="{7E239FD2-17CE-44E1-91B1-F4DCC77F9A18}" name="Colonne9" dataDxfId="26"/>
    <tableColumn id="10" xr3:uid="{90A8C207-24F7-4A48-9CE5-6E83C975F8A2}" name="Colonne10" dataDxfId="25"/>
  </tableColumns>
  <tableStyleInfo name="TableStyleDark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FD22B3-10CA-4F8A-8764-C2A4EA1F481F}" name="Tableau1" displayName="Tableau1" ref="A1:R50" totalsRowShown="0" headerRowDxfId="19" dataDxfId="18">
  <autoFilter ref="A1:R50" xr:uid="{C6C48E7F-9443-4394-BA60-7D43F1E816F3}"/>
  <tableColumns count="18">
    <tableColumn id="1" xr3:uid="{7B9CD581-4E9C-4D49-981A-CB0ABEA6E9D4}" name="Stint #" dataDxfId="17"/>
    <tableColumn id="10" xr3:uid="{B09522E8-165D-45BD-BF3A-47FD61E5E1A7}" name="Chrono" dataDxfId="16">
      <calculatedColumnFormula>TEXT( $C2/1440, "hh:mm:ss" )</calculatedColumnFormula>
    </tableColumn>
    <tableColumn id="11" xr3:uid="{BE6EC078-FD6F-44C1-9401-C7C925DA20D5}" name="Chrono 2" dataDxfId="15">
      <calculatedColumnFormula>'Start Page'!B1</calculatedColumnFormula>
    </tableColumn>
    <tableColumn id="12" xr3:uid="{D8BD97A6-0E73-4EFF-B4F5-0A968FFD29C6}" name="Pilotes" dataDxfId="14"/>
    <tableColumn id="2" xr3:uid="{64E5BF69-81FC-44BE-A595-C084DFE0FACF}" name="Stint raw value" dataDxfId="13"/>
    <tableColumn id="3" xr3:uid="{58B1B1BE-8A42-4D79-A61B-F208F7169AE2}" name="Stint in seconds" dataDxfId="12"/>
    <tableColumn id="4" xr3:uid="{CEE83790-80C9-4576-BAF2-1E9C8C2D381E}" name="Stint in minutes" dataDxfId="11"/>
    <tableColumn id="5" xr3:uid="{EA08863A-4601-45A4-8701-50D9EB4B9443}" name="Time Margin" dataDxfId="10"/>
    <tableColumn id="6" xr3:uid="{33FBD5E6-D66C-4758-892B-23B724367425}" name="Helper" dataDxfId="9"/>
    <tableColumn id="7" xr3:uid="{865C0D6F-95C3-4961-A13B-EF7F4631EBEC}" name="Pitstop" dataDxfId="8"/>
    <tableColumn id="8" xr3:uid="{8C535BC4-BA0E-4212-8779-971F641A9FB1}" name="Pitstop seconds" dataDxfId="7"/>
    <tableColumn id="9" xr3:uid="{7C3851D0-E4A6-4482-B2DE-D750A1880E6A}" name="Pitstop minutes" dataDxfId="6"/>
    <tableColumn id="15" xr3:uid="{860186DE-4FF2-4155-A748-2F48315C3A35}" name="Pit In" dataDxfId="5"/>
    <tableColumn id="16" xr3:uid="{A4D45C83-886A-4E9E-94A9-86906D6DBE82}" name="Pit In Seconds" dataDxfId="4">
      <calculatedColumnFormula>IF($I2,"",LEFT($M2,FIND(":",$M2)-1)*60 + RIGHT($M2,LEN($M2)-FIND(":",$M2)))</calculatedColumnFormula>
    </tableColumn>
    <tableColumn id="17" xr3:uid="{317BD1B7-FE0A-4D99-866E-267E76BEC86F}" name="Pit In Minutes" dataDxfId="3">
      <calculatedColumnFormula>IF($I2,"",$N2/60)</calculatedColumnFormula>
    </tableColumn>
    <tableColumn id="18" xr3:uid="{42D8678A-D5AA-4C9F-9153-17F2EE9AC29E}" name="Pit Out" dataDxfId="2"/>
    <tableColumn id="19" xr3:uid="{C121EC26-996B-47A8-AB33-C68FB1F11413}" name="Pit Out Seconds" dataDxfId="1">
      <calculatedColumnFormula>IF($I2,"",LEFT($P2,FIND(":",$P2)-1)*60 + RIGHT($P2,LEN($P2)-FIND(":",$P2)))</calculatedColumnFormula>
    </tableColumn>
    <tableColumn id="14" xr3:uid="{7FA8C99D-03C2-45BC-A6B9-ABCDED13213C}" name="Pit Out Minutes" dataDxfId="0">
      <calculatedColumnFormula>IF($I2,"",$Q2/60)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C20"/>
  <sheetViews>
    <sheetView showGridLines="0" workbookViewId="0">
      <selection activeCell="B9" sqref="B9"/>
    </sheetView>
  </sheetViews>
  <sheetFormatPr baseColWidth="10" defaultColWidth="9.140625" defaultRowHeight="15" x14ac:dyDescent="0.25"/>
  <cols>
    <col min="1" max="1" width="36" style="11" bestFit="1" customWidth="1"/>
    <col min="2" max="2" width="12" style="11" bestFit="1" customWidth="1"/>
    <col min="3" max="16384" width="9.140625" style="11"/>
  </cols>
  <sheetData>
    <row r="1" spans="1:3" x14ac:dyDescent="0.25">
      <c r="A1" s="15" t="s">
        <v>0</v>
      </c>
      <c r="B1" s="6">
        <v>4</v>
      </c>
    </row>
    <row r="2" spans="1:3" x14ac:dyDescent="0.25">
      <c r="A2" s="15" t="s">
        <v>2</v>
      </c>
      <c r="B2" s="6">
        <v>15</v>
      </c>
    </row>
    <row r="3" spans="1:3" x14ac:dyDescent="0.25">
      <c r="A3" s="15" t="s">
        <v>3</v>
      </c>
      <c r="B3" s="6">
        <v>50</v>
      </c>
    </row>
    <row r="4" spans="1:3" x14ac:dyDescent="0.25">
      <c r="A4" s="15" t="s">
        <v>1</v>
      </c>
      <c r="B4" s="6">
        <v>7</v>
      </c>
    </row>
    <row r="5" spans="1:3" x14ac:dyDescent="0.25">
      <c r="A5" s="15" t="s">
        <v>14</v>
      </c>
      <c r="B5" s="6">
        <v>15</v>
      </c>
    </row>
    <row r="6" spans="1:3" x14ac:dyDescent="0.25">
      <c r="A6" s="15" t="s">
        <v>15</v>
      </c>
      <c r="B6" s="6">
        <v>15</v>
      </c>
    </row>
    <row r="7" spans="1:3" x14ac:dyDescent="0.25">
      <c r="A7" s="15" t="s">
        <v>60</v>
      </c>
      <c r="B7" s="26">
        <v>8.3333333333333329E-2</v>
      </c>
    </row>
    <row r="8" spans="1:3" x14ac:dyDescent="0.25">
      <c r="A8" s="15" t="s">
        <v>142</v>
      </c>
      <c r="B8" s="6">
        <v>120</v>
      </c>
    </row>
    <row r="9" spans="1:3" x14ac:dyDescent="0.25">
      <c r="A9" s="15" t="s">
        <v>146</v>
      </c>
      <c r="B9" s="6">
        <v>360</v>
      </c>
    </row>
    <row r="11" spans="1:3" hidden="1" x14ac:dyDescent="0.25">
      <c r="A11" s="19" t="s">
        <v>56</v>
      </c>
      <c r="B11" s="19">
        <f>INT(
  ((B1*60) - B2*(B4+2))
  / (B3 - B2)
)</f>
        <v>3</v>
      </c>
      <c r="C11" s="19"/>
    </row>
    <row r="12" spans="1:3" hidden="1" x14ac:dyDescent="0.25">
      <c r="A12" s="19" t="s">
        <v>57</v>
      </c>
      <c r="B12" s="19">
        <f>B4+2 - B11</f>
        <v>6</v>
      </c>
      <c r="C12" s="19"/>
    </row>
    <row r="13" spans="1:3" hidden="1" x14ac:dyDescent="0.25">
      <c r="A13" s="19" t="s">
        <v>58</v>
      </c>
      <c r="B13" s="19">
        <f>((B1*60) - B11*B3) / B12</f>
        <v>15</v>
      </c>
      <c r="C13" s="19"/>
    </row>
    <row r="14" spans="1:3" hidden="1" x14ac:dyDescent="0.25">
      <c r="A14" s="19"/>
      <c r="B14" s="19"/>
      <c r="C14" s="19"/>
    </row>
    <row r="15" spans="1:3" hidden="1" x14ac:dyDescent="0.25">
      <c r="A15" s="19"/>
      <c r="B15" s="19"/>
      <c r="C15" s="19"/>
    </row>
    <row r="16" spans="1:3" x14ac:dyDescent="0.25">
      <c r="A16" s="15" t="s">
        <v>65</v>
      </c>
      <c r="B16" s="26" t="s">
        <v>148</v>
      </c>
    </row>
    <row r="17" spans="1:2" x14ac:dyDescent="0.25">
      <c r="A17" s="15" t="s">
        <v>66</v>
      </c>
      <c r="B17" s="26" t="s">
        <v>149</v>
      </c>
    </row>
    <row r="18" spans="1:2" x14ac:dyDescent="0.25">
      <c r="A18" s="15" t="s">
        <v>67</v>
      </c>
      <c r="B18" s="26" t="s">
        <v>150</v>
      </c>
    </row>
    <row r="19" spans="1:2" x14ac:dyDescent="0.25">
      <c r="A19" s="15" t="s">
        <v>68</v>
      </c>
      <c r="B19" s="26"/>
    </row>
    <row r="20" spans="1:2" x14ac:dyDescent="0.25">
      <c r="A20" s="15" t="s">
        <v>140</v>
      </c>
      <c r="B20" s="2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57150</xdr:colOff>
                    <xdr:row>0</xdr:row>
                    <xdr:rowOff>76200</xdr:rowOff>
                  </from>
                  <to>
                    <xdr:col>8</xdr:col>
                    <xdr:colOff>123825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9D017-64B9-43E2-8490-1095ACC1D903}">
  <sheetPr codeName="Sheet2">
    <tabColor rgb="FF0070C0"/>
  </sheetPr>
  <dimension ref="A1:Y51"/>
  <sheetViews>
    <sheetView showGridLines="0" tabSelected="1" zoomScaleNormal="100" workbookViewId="0">
      <selection activeCell="E15" sqref="E15"/>
    </sheetView>
  </sheetViews>
  <sheetFormatPr baseColWidth="10" defaultColWidth="9.140625" defaultRowHeight="15" x14ac:dyDescent="0.25"/>
  <cols>
    <col min="1" max="1" width="33.42578125" style="21" bestFit="1" customWidth="1"/>
    <col min="2" max="2" width="24.7109375" style="21" customWidth="1"/>
    <col min="3" max="3" width="17.7109375" style="21" bestFit="1" customWidth="1"/>
    <col min="4" max="4" width="22" style="21" bestFit="1" customWidth="1"/>
    <col min="5" max="5" width="20" style="21" bestFit="1" customWidth="1"/>
    <col min="6" max="6" width="11.42578125" style="21" bestFit="1" customWidth="1"/>
    <col min="7" max="7" width="17.140625" style="21" bestFit="1" customWidth="1"/>
    <col min="8" max="8" width="9.28515625" style="21" bestFit="1" customWidth="1"/>
    <col min="9" max="9" width="18.5703125" style="21" bestFit="1" customWidth="1"/>
    <col min="10" max="10" width="18.85546875" style="21" bestFit="1" customWidth="1"/>
    <col min="11" max="11" width="13.85546875" style="21" customWidth="1"/>
    <col min="12" max="12" width="8.7109375" style="159" customWidth="1"/>
    <col min="13" max="13" width="17.42578125" style="21" customWidth="1"/>
    <col min="14" max="14" width="15.42578125" style="21" customWidth="1"/>
    <col min="15" max="15" width="10.140625" style="21" bestFit="1" customWidth="1"/>
    <col min="16" max="17" width="9.140625" style="21" bestFit="1" customWidth="1"/>
    <col min="18" max="18" width="9.42578125" style="21" bestFit="1" customWidth="1"/>
    <col min="19" max="19" width="16" style="21" hidden="1" customWidth="1"/>
    <col min="20" max="20" width="13" style="21" customWidth="1"/>
    <col min="21" max="16384" width="9.140625" style="21"/>
  </cols>
  <sheetData>
    <row r="1" spans="1:25" x14ac:dyDescent="0.25">
      <c r="A1" s="16" t="s">
        <v>9</v>
      </c>
      <c r="B1" s="20"/>
      <c r="F1" s="43" t="s">
        <v>64</v>
      </c>
      <c r="G1" s="43" t="s">
        <v>91</v>
      </c>
      <c r="H1" s="43" t="s">
        <v>92</v>
      </c>
      <c r="I1" s="43" t="s">
        <v>144</v>
      </c>
      <c r="J1" s="43" t="s">
        <v>145</v>
      </c>
      <c r="K1" s="149"/>
      <c r="L1" s="166" t="s">
        <v>35</v>
      </c>
      <c r="M1" s="167"/>
      <c r="N1" s="167"/>
      <c r="O1" s="167"/>
      <c r="P1" s="167"/>
      <c r="Q1" s="167"/>
      <c r="R1" s="167"/>
    </row>
    <row r="2" spans="1:25" x14ac:dyDescent="0.25">
      <c r="A2" s="16" t="s">
        <v>36</v>
      </c>
      <c r="B2" s="20"/>
      <c r="F2" s="41"/>
      <c r="L2" s="156" t="s">
        <v>4</v>
      </c>
      <c r="M2" s="151" t="s">
        <v>90</v>
      </c>
      <c r="N2" s="151" t="s">
        <v>89</v>
      </c>
      <c r="O2" s="151" t="s">
        <v>24</v>
      </c>
      <c r="P2" s="151" t="s">
        <v>88</v>
      </c>
      <c r="Q2" s="151" t="s">
        <v>69</v>
      </c>
      <c r="R2" s="152" t="s">
        <v>70</v>
      </c>
      <c r="S2" s="151" t="s">
        <v>147</v>
      </c>
      <c r="Y2" s="22"/>
    </row>
    <row r="3" spans="1:25" ht="12.75" customHeight="1" x14ac:dyDescent="0.25">
      <c r="A3" s="16" t="s">
        <v>71</v>
      </c>
      <c r="B3" s="20"/>
      <c r="F3" s="42" t="str">
        <f>'Start Page'!$B$16</f>
        <v>Lucas</v>
      </c>
      <c r="G3" s="16" t="str">
        <f>TEXT('Rapport Pilotes'!$C$2/1440, "h:mm:ss")</f>
        <v>0:00:00</v>
      </c>
      <c r="H3" s="16">
        <f>'Rapport Pilotes'!$B$2</f>
        <v>0</v>
      </c>
      <c r="I3" s="147">
        <f>('Start Page'!$B$8 / 1440) - G3</f>
        <v>8.3333333333333329E-2</v>
      </c>
      <c r="J3" s="147">
        <f>'Start Page'!$B$9/1440-G3</f>
        <v>0.25</v>
      </c>
      <c r="K3" s="148"/>
      <c r="L3" s="157" t="str">
        <f>IF('Stints List'!$I14,"",'Stints List'!$A14)</f>
        <v/>
      </c>
      <c r="M3" s="16" t="str">
        <f>IF('Stints List'!$I14,"",'Stints List'!$B14)</f>
        <v/>
      </c>
      <c r="N3" s="16" t="str">
        <f>IF('Stints List'!$I14,"",'Stints List'!$D14)</f>
        <v/>
      </c>
      <c r="O3" s="16" t="str">
        <f>IF('Stints List'!$I14,"",'Stints List'!$E14)</f>
        <v/>
      </c>
      <c r="P3" s="16" t="str">
        <f>IF('Stints List'!$I14,"",'Stints List'!$J14)</f>
        <v/>
      </c>
      <c r="Q3" s="16" t="str">
        <f>IF('Stints List'!$I14,"",'Stints List'!$M14)</f>
        <v/>
      </c>
      <c r="R3" s="150" t="str">
        <f>IF('Stints List'!$I14,"",'Stints List'!$P14)</f>
        <v/>
      </c>
      <c r="S3" s="151">
        <f>IFERROR(
   IF(Stints[[#This Row],[Stint '#]]&lt;&gt;"", 1, 0),
   0
)</f>
        <v>0</v>
      </c>
      <c r="Y3" s="22"/>
    </row>
    <row r="4" spans="1:25" x14ac:dyDescent="0.25">
      <c r="A4" s="16" t="s">
        <v>72</v>
      </c>
      <c r="B4" s="20"/>
      <c r="F4" s="42" t="str">
        <f>'Start Page'!$B$17</f>
        <v>Remi</v>
      </c>
      <c r="G4" s="16" t="str">
        <f>TEXT('Rapport Pilotes'!$C$3/1440, "h:mm:ss")</f>
        <v>0:00:00</v>
      </c>
      <c r="H4" s="16">
        <f>'Rapport Pilotes'!$B$3</f>
        <v>0</v>
      </c>
      <c r="I4" s="147">
        <f>('Start Page'!$B$8 / 1440) - G4</f>
        <v>8.3333333333333329E-2</v>
      </c>
      <c r="J4" s="147">
        <f>'Start Page'!$B$9/1440-G4</f>
        <v>0.25</v>
      </c>
      <c r="K4" s="148"/>
      <c r="L4" s="157" t="str">
        <f>IF('Stints List'!$I13,"",'Stints List'!$A13)</f>
        <v/>
      </c>
      <c r="M4" s="16" t="str">
        <f>IF('Stints List'!$I13,"",'Stints List'!$B13)</f>
        <v/>
      </c>
      <c r="N4" s="16" t="str">
        <f>IF('Stints List'!$I13,"",'Stints List'!$D13)</f>
        <v/>
      </c>
      <c r="O4" s="16" t="str">
        <f>IF('Stints List'!$I13,"",'Stints List'!$E13)</f>
        <v/>
      </c>
      <c r="P4" s="16" t="str">
        <f>IF('Stints List'!$I13,"",'Stints List'!$J13)</f>
        <v/>
      </c>
      <c r="Q4" s="16" t="str">
        <f>IF('Stints List'!$I13,"",'Stints List'!$M13)</f>
        <v/>
      </c>
      <c r="R4" s="150" t="str">
        <f>IF('Stints List'!$I13,"",'Stints List'!$P13)</f>
        <v/>
      </c>
      <c r="S4" s="16">
        <f>IFERROR(
   IF(Stints[[#This Row],[Stint '#]]&lt;&gt;"", 1, 0),
   0
)</f>
        <v>0</v>
      </c>
      <c r="Y4" s="22"/>
    </row>
    <row r="5" spans="1:25" x14ac:dyDescent="0.25">
      <c r="A5" s="16" t="s">
        <v>64</v>
      </c>
      <c r="B5" s="20"/>
      <c r="F5" s="42" t="str">
        <f>'Start Page'!$B$18</f>
        <v>Fabio</v>
      </c>
      <c r="G5" s="16" t="str">
        <f>TEXT('Rapport Pilotes'!$C$4/1440, "h:mm:ss")</f>
        <v>0:00:00</v>
      </c>
      <c r="H5" s="16">
        <f>'Rapport Pilotes'!$B$4</f>
        <v>0</v>
      </c>
      <c r="I5" s="147">
        <f>('Start Page'!$B$8 / 1440) - G5</f>
        <v>8.3333333333333329E-2</v>
      </c>
      <c r="J5" s="147">
        <f>'Start Page'!$B$9/1440-G5</f>
        <v>0.25</v>
      </c>
      <c r="K5" s="148"/>
      <c r="L5" s="157" t="str">
        <f>IF('Stints List'!$I12,"",'Stints List'!$A12)</f>
        <v/>
      </c>
      <c r="M5" s="16" t="str">
        <f>IF('Stints List'!$I12,"",'Stints List'!$B12)</f>
        <v/>
      </c>
      <c r="N5" s="16" t="str">
        <f>IF('Stints List'!$I12,"",'Stints List'!$D12)</f>
        <v/>
      </c>
      <c r="O5" s="16" t="str">
        <f>IF('Stints List'!$I12,"",'Stints List'!$E12)</f>
        <v/>
      </c>
      <c r="P5" s="16" t="str">
        <f>IF('Stints List'!$I12,"",'Stints List'!$J12)</f>
        <v/>
      </c>
      <c r="Q5" s="16" t="str">
        <f>IF('Stints List'!$I12,"",'Stints List'!$M12)</f>
        <v/>
      </c>
      <c r="R5" s="150" t="str">
        <f>IF('Stints List'!$I12,"",'Stints List'!$P12)</f>
        <v/>
      </c>
      <c r="S5" s="16">
        <f>IFERROR(
   IF(Stints[[#This Row],[Stint '#]]&lt;&gt;"", 1, 0),
   0
)</f>
        <v>0</v>
      </c>
      <c r="Y5" s="22"/>
    </row>
    <row r="6" spans="1:25" x14ac:dyDescent="0.25">
      <c r="A6" s="28"/>
      <c r="B6" s="29"/>
      <c r="F6" s="42">
        <f>'Start Page'!$B$19</f>
        <v>0</v>
      </c>
      <c r="G6" s="16" t="str">
        <f>TEXT('Rapport Pilotes'!$C$5/1440, "h:mm:ss")</f>
        <v>0:00:00</v>
      </c>
      <c r="H6" s="16">
        <f>'Rapport Pilotes'!$B$5</f>
        <v>0</v>
      </c>
      <c r="I6" s="147">
        <f>('Start Page'!$B$8 / 1440) - G6</f>
        <v>8.3333333333333329E-2</v>
      </c>
      <c r="J6" s="147">
        <f>'Start Page'!$B$9/1440-G6</f>
        <v>0.25</v>
      </c>
      <c r="K6" s="148"/>
      <c r="L6" s="157" t="str">
        <f>IF('Stints List'!$I11,"",'Stints List'!$A11)</f>
        <v/>
      </c>
      <c r="M6" s="16" t="str">
        <f>IF('Stints List'!$I11,"",'Stints List'!$B11)</f>
        <v/>
      </c>
      <c r="N6" s="16" t="str">
        <f>IF('Stints List'!$I11,"",'Stints List'!$D11)</f>
        <v/>
      </c>
      <c r="O6" s="16" t="str">
        <f>IF('Stints List'!$I11,"",'Stints List'!$E11)</f>
        <v/>
      </c>
      <c r="P6" s="16" t="str">
        <f>IF('Stints List'!$I11,"",'Stints List'!$J11)</f>
        <v/>
      </c>
      <c r="Q6" s="16" t="str">
        <f>IF('Stints List'!$I11,"",'Stints List'!$M11)</f>
        <v/>
      </c>
      <c r="R6" s="150" t="str">
        <f>IF('Stints List'!$I11,"",'Stints List'!$P11)</f>
        <v/>
      </c>
      <c r="S6" s="16">
        <f>IFERROR(
   IF(Stints[[#This Row],[Stint '#]]&lt;&gt;"", 1, 0),
   0
)</f>
        <v>0</v>
      </c>
      <c r="Y6" s="22"/>
    </row>
    <row r="7" spans="1:25" x14ac:dyDescent="0.25">
      <c r="A7" s="16" t="s">
        <v>59</v>
      </c>
      <c r="B7" s="25">
        <f>'Calculations v2'!$B3</f>
        <v>240</v>
      </c>
      <c r="F7" s="42">
        <f>'Start Page'!$B$20</f>
        <v>0</v>
      </c>
      <c r="G7" s="16" t="str">
        <f>TEXT('Rapport Pilotes'!$C$6/1440, "h:mm:ss")</f>
        <v>0:00:00</v>
      </c>
      <c r="H7" s="16">
        <f>'Rapport Pilotes'!$B$6</f>
        <v>0</v>
      </c>
      <c r="I7" s="147">
        <f>('Start Page'!$B$8 / 1440) - G7</f>
        <v>8.3333333333333329E-2</v>
      </c>
      <c r="J7" s="147">
        <f>'Start Page'!$B$9/1440-G7</f>
        <v>0.25</v>
      </c>
      <c r="K7" s="148"/>
      <c r="L7" s="157" t="str">
        <f>IF('Stints List'!$I10,"",'Stints List'!$A10)</f>
        <v/>
      </c>
      <c r="M7" s="16" t="str">
        <f>IF('Stints List'!$I10,"",'Stints List'!$B10)</f>
        <v/>
      </c>
      <c r="N7" s="16" t="str">
        <f>IF('Stints List'!$I10,"",'Stints List'!$D10)</f>
        <v/>
      </c>
      <c r="O7" s="16" t="str">
        <f>IF('Stints List'!$I10,"",'Stints List'!$E10)</f>
        <v/>
      </c>
      <c r="P7" s="16" t="str">
        <f>IF('Stints List'!$I10,"",'Stints List'!$J10)</f>
        <v/>
      </c>
      <c r="Q7" s="16" t="str">
        <f>IF('Stints List'!$I10,"",'Stints List'!$M10)</f>
        <v/>
      </c>
      <c r="R7" s="150" t="str">
        <f>IF('Stints List'!$I10,"",'Stints List'!$P10)</f>
        <v/>
      </c>
      <c r="S7" s="16">
        <f>IFERROR(
   IF(Stints[[#This Row],[Stint '#]]&lt;&gt;"", 1, 0),
   0
)</f>
        <v>0</v>
      </c>
      <c r="Y7" s="22"/>
    </row>
    <row r="8" spans="1:25" x14ac:dyDescent="0.25">
      <c r="A8" s="16" t="s">
        <v>16</v>
      </c>
      <c r="B8" s="25">
        <f>'Calculations v2'!$B4</f>
        <v>225</v>
      </c>
      <c r="L8" s="157" t="str">
        <f>IF('Stints List'!$I9,"",'Stints List'!$A9)</f>
        <v/>
      </c>
      <c r="M8" s="16" t="str">
        <f>IF('Stints List'!$I9,"",'Stints List'!$B9)</f>
        <v/>
      </c>
      <c r="N8" s="16" t="str">
        <f>IF('Stints List'!$I9,"",'Stints List'!$D9)</f>
        <v/>
      </c>
      <c r="O8" s="16" t="str">
        <f>IF('Stints List'!$I9,"",'Stints List'!$E9)</f>
        <v/>
      </c>
      <c r="P8" s="16" t="str">
        <f>IF('Stints List'!$I9,"",'Stints List'!$J9)</f>
        <v/>
      </c>
      <c r="Q8" s="16" t="str">
        <f>IF('Stints List'!$I9,"",'Stints List'!$M9)</f>
        <v/>
      </c>
      <c r="R8" s="150" t="str">
        <f>IF('Stints List'!$I9,"",'Stints List'!$P9)</f>
        <v/>
      </c>
      <c r="S8" s="16">
        <f>IFERROR(
   IF(Stints[[#This Row],[Stint '#]]&lt;&gt;"", 1, 0),
   0
)</f>
        <v>0</v>
      </c>
      <c r="Y8" s="22"/>
    </row>
    <row r="9" spans="1:25" x14ac:dyDescent="0.25">
      <c r="A9" s="16" t="s">
        <v>10</v>
      </c>
      <c r="B9" s="18" t="str">
        <f>'Calculations v2'!$B10</f>
        <v>4:00:00</v>
      </c>
      <c r="L9" s="157" t="str">
        <f>IF('Stints List'!$I8,"",'Stints List'!$A8)</f>
        <v/>
      </c>
      <c r="M9" s="16" t="str">
        <f>IF('Stints List'!$I8,"",'Stints List'!$B8)</f>
        <v/>
      </c>
      <c r="N9" s="16" t="str">
        <f>IF('Stints List'!$I8,"",'Stints List'!$D8)</f>
        <v/>
      </c>
      <c r="O9" s="16" t="str">
        <f>IF('Stints List'!$I8,"",'Stints List'!$E8)</f>
        <v/>
      </c>
      <c r="P9" s="16" t="str">
        <f>IF('Stints List'!$I8,"",'Stints List'!$J8)</f>
        <v/>
      </c>
      <c r="Q9" s="16" t="str">
        <f>IF('Stints List'!$I8,"",'Stints List'!$M8)</f>
        <v/>
      </c>
      <c r="R9" s="150" t="str">
        <f>IF('Stints List'!$I8,"",'Stints List'!$P8)</f>
        <v/>
      </c>
      <c r="S9" s="16">
        <f>IFERROR(
   IF(Stints[[#This Row],[Stint '#]]&lt;&gt;"", 1, 0),
   0
)</f>
        <v>0</v>
      </c>
      <c r="Y9" s="22"/>
    </row>
    <row r="10" spans="1:25" x14ac:dyDescent="0.25">
      <c r="A10" s="16" t="s">
        <v>16</v>
      </c>
      <c r="B10" s="18" t="str">
        <f>'Calculations v2'!$B11</f>
        <v>3:45:00</v>
      </c>
      <c r="L10" s="157" t="str">
        <f>IF('Stints List'!$I7,"",'Stints List'!$A7)</f>
        <v/>
      </c>
      <c r="M10" s="16" t="str">
        <f>IF('Stints List'!$I7,"",'Stints List'!$B7)</f>
        <v/>
      </c>
      <c r="N10" s="16" t="str">
        <f>IF('Stints List'!$I7,"",'Stints List'!$D7)</f>
        <v/>
      </c>
      <c r="O10" s="16" t="str">
        <f>IF('Stints List'!$I7,"",'Stints List'!$E7)</f>
        <v/>
      </c>
      <c r="P10" s="16" t="str">
        <f>IF('Stints List'!$I7,"",'Stints List'!$J7)</f>
        <v/>
      </c>
      <c r="Q10" s="16" t="str">
        <f>IF('Stints List'!$I7,"",'Stints List'!$M7)</f>
        <v/>
      </c>
      <c r="R10" s="150" t="str">
        <f>IF('Stints List'!$I7,"",'Stints List'!$P7)</f>
        <v/>
      </c>
      <c r="S10" s="16">
        <f>IFERROR(
   IF(Stints[[#This Row],[Stint '#]]&lt;&gt;"", 1, 0),
   0
)</f>
        <v>0</v>
      </c>
      <c r="Y10" s="22"/>
    </row>
    <row r="11" spans="1:25" x14ac:dyDescent="0.25">
      <c r="A11" s="16" t="s">
        <v>13</v>
      </c>
      <c r="B11" s="18">
        <f>'Calculations v2'!$B5</f>
        <v>7</v>
      </c>
      <c r="L11" s="157" t="str">
        <f>IF('Stints List'!$I6,"",'Stints List'!$A6)</f>
        <v/>
      </c>
      <c r="M11" s="16" t="str">
        <f>IF('Stints List'!$I6,"",'Stints List'!$B6)</f>
        <v/>
      </c>
      <c r="N11" s="16" t="str">
        <f>IF('Stints List'!$I6,"",'Stints List'!$D6)</f>
        <v/>
      </c>
      <c r="O11" s="16" t="str">
        <f>IF('Stints List'!$I6,"",'Stints List'!$E6)</f>
        <v/>
      </c>
      <c r="P11" s="16" t="str">
        <f>IF('Stints List'!$I6,"",'Stints List'!$J6)</f>
        <v/>
      </c>
      <c r="Q11" s="16" t="str">
        <f>IF('Stints List'!$I6,"",'Stints List'!$M6)</f>
        <v/>
      </c>
      <c r="R11" s="150" t="str">
        <f>IF('Stints List'!$I6,"",'Stints List'!$P6)</f>
        <v/>
      </c>
      <c r="S11" s="16">
        <f>IFERROR(
   IF(Stints[[#This Row],[Stint '#]]&lt;&gt;"", 1, 0),
   0
)</f>
        <v>0</v>
      </c>
      <c r="Y11" s="22"/>
    </row>
    <row r="12" spans="1:25" x14ac:dyDescent="0.25">
      <c r="A12" s="16" t="s">
        <v>21</v>
      </c>
      <c r="B12" s="18">
        <f>'Calculations v2'!$B6</f>
        <v>8</v>
      </c>
      <c r="L12" s="157" t="str">
        <f>IF('Stints List'!$I5,"",'Stints List'!$A5)</f>
        <v/>
      </c>
      <c r="M12" s="16" t="str">
        <f>IF('Stints List'!$I5,"",'Stints List'!$B5)</f>
        <v/>
      </c>
      <c r="N12" s="16" t="str">
        <f>IF('Stints List'!$I5,"",'Stints List'!$D5)</f>
        <v/>
      </c>
      <c r="O12" s="16" t="str">
        <f>IF('Stints List'!$I5,"",'Stints List'!$E5)</f>
        <v/>
      </c>
      <c r="P12" s="16" t="str">
        <f>IF('Stints List'!$I5,"",'Stints List'!$J5)</f>
        <v/>
      </c>
      <c r="Q12" s="16" t="str">
        <f>IF('Stints List'!$I5,"",'Stints List'!$M5)</f>
        <v/>
      </c>
      <c r="R12" s="150" t="str">
        <f>IF('Stints List'!$I5,"",'Stints List'!$P5)</f>
        <v/>
      </c>
      <c r="S12" s="16">
        <f>IFERROR(
   IF(Stints[[#This Row],[Stint '#]]&lt;&gt;"", 1, 0),
   0
)</f>
        <v>0</v>
      </c>
      <c r="Y12" s="22"/>
    </row>
    <row r="13" spans="1:25" x14ac:dyDescent="0.25">
      <c r="A13" s="17" t="s">
        <v>25</v>
      </c>
      <c r="B13" s="25">
        <f>'Calculations v2'!$B9</f>
        <v>110</v>
      </c>
      <c r="D13" s="164" t="s">
        <v>17</v>
      </c>
      <c r="E13" s="165"/>
      <c r="F13" s="165"/>
      <c r="G13" s="165"/>
      <c r="H13" s="37"/>
      <c r="I13" s="37"/>
      <c r="J13" s="37"/>
      <c r="K13" s="37"/>
      <c r="L13" s="157" t="str">
        <f>IF('Stints List'!$I4,"",'Stints List'!$A4)</f>
        <v/>
      </c>
      <c r="M13" s="16" t="str">
        <f>IF('Stints List'!$I4,"",'Stints List'!$B4)</f>
        <v/>
      </c>
      <c r="N13" s="16" t="str">
        <f>IF('Stints List'!$I4,"",'Stints List'!$D4)</f>
        <v/>
      </c>
      <c r="O13" s="16" t="str">
        <f>IF('Stints List'!$I4,"",'Stints List'!$E4)</f>
        <v/>
      </c>
      <c r="P13" s="16" t="str">
        <f>IF('Stints List'!$I4,"",'Stints List'!$J4)</f>
        <v/>
      </c>
      <c r="Q13" s="16" t="str">
        <f>IF('Stints List'!$I4,"",'Stints List'!$M4)</f>
        <v/>
      </c>
      <c r="R13" s="150" t="str">
        <f>IF('Stints List'!$I4,"",'Stints List'!$P4)</f>
        <v/>
      </c>
      <c r="S13" s="16">
        <f>IFERROR(
   IF(Stints[[#This Row],[Stint '#]]&lt;&gt;"", 1, 0),
   0
)</f>
        <v>0</v>
      </c>
      <c r="Y13" s="22"/>
    </row>
    <row r="14" spans="1:25" ht="18" customHeight="1" x14ac:dyDescent="0.25">
      <c r="A14" s="17" t="s">
        <v>41</v>
      </c>
      <c r="B14" s="25">
        <f>'Calculations v2'!$B16</f>
        <v>28</v>
      </c>
      <c r="D14" s="23" t="s">
        <v>34</v>
      </c>
      <c r="E14" s="23" t="s">
        <v>29</v>
      </c>
      <c r="F14" s="23" t="s">
        <v>141</v>
      </c>
      <c r="G14" s="36" t="s">
        <v>143</v>
      </c>
      <c r="H14" s="38"/>
      <c r="I14" s="38"/>
      <c r="J14" s="38"/>
      <c r="K14" s="38"/>
      <c r="L14" s="157" t="str">
        <f>IF('Stints List'!$I3,"",'Stints List'!$A3)</f>
        <v/>
      </c>
      <c r="M14" s="16" t="str">
        <f>IF('Stints List'!$I3,"",'Stints List'!$B3)</f>
        <v/>
      </c>
      <c r="N14" s="16" t="str">
        <f>IF('Stints List'!$I3,"",'Stints List'!$D3)</f>
        <v/>
      </c>
      <c r="O14" s="16" t="str">
        <f>IF('Stints List'!$I3,"",'Stints List'!$E3)</f>
        <v/>
      </c>
      <c r="P14" s="16" t="str">
        <f>IF('Stints List'!$I3,"",'Stints List'!$J3)</f>
        <v/>
      </c>
      <c r="Q14" s="16" t="str">
        <f>IF('Stints List'!$I3,"",'Stints List'!$M3)</f>
        <v/>
      </c>
      <c r="R14" s="150" t="str">
        <f>IF('Stints List'!$I3,"",'Stints List'!$P3)</f>
        <v/>
      </c>
      <c r="S14" s="16">
        <f>IFERROR(
   IF(Stints[[#This Row],[Stint '#]]&lt;&gt;"", 1, 0),
   0
)</f>
        <v>0</v>
      </c>
      <c r="Y14" s="22"/>
    </row>
    <row r="15" spans="1:25" ht="17.25" customHeight="1" x14ac:dyDescent="0.25">
      <c r="A15" s="17" t="s">
        <v>45</v>
      </c>
      <c r="B15" s="40" t="e">
        <f>'Calculations v2'!B3 - B12 * 'Start Page'!B2 - 'Main Page'!B11 * ('Calculations v2'!B17/'Calculations v2'!B19)</f>
        <v>#DIV/0!</v>
      </c>
      <c r="D15" s="18">
        <f>B16</f>
        <v>3</v>
      </c>
      <c r="E15" s="18">
        <f>B17</f>
        <v>5</v>
      </c>
      <c r="F15" s="18" t="str">
        <f>IF('Calculations v2'!$B14,"Yes","No")</f>
        <v>No</v>
      </c>
      <c r="G15" s="35">
        <f>B18</f>
        <v>15</v>
      </c>
      <c r="H15" s="39"/>
      <c r="I15" s="39"/>
      <c r="J15" s="39"/>
      <c r="K15" s="39"/>
      <c r="L15" s="157" t="str">
        <f>IF('Stints List'!$I2,"",'Stints List'!$A2)</f>
        <v/>
      </c>
      <c r="M15" s="16" t="str">
        <f>IF('Stints List'!$I2,"",'Stints List'!$B2)</f>
        <v/>
      </c>
      <c r="N15" s="16" t="str">
        <f>IF('Stints List'!$I2,"",'Stints List'!$D2)</f>
        <v/>
      </c>
      <c r="O15" s="16" t="str">
        <f>IF('Stints List'!$I2,"",'Stints List'!$E2)</f>
        <v/>
      </c>
      <c r="P15" s="16" t="str">
        <f>IF('Stints List'!$I2,"",'Stints List'!$J2)</f>
        <v/>
      </c>
      <c r="Q15" s="16" t="str">
        <f>IF('Stints List'!$I2,"",'Stints List'!$M2)</f>
        <v/>
      </c>
      <c r="R15" s="150" t="str">
        <f>IF('Stints List'!$I2,"",'Stints List'!$P2)</f>
        <v/>
      </c>
      <c r="S15" s="16">
        <f>IFERROR(
   IF(Stints[[#This Row],[Stint '#]]&lt;&gt;"", 1, 0),
   0
)</f>
        <v>0</v>
      </c>
      <c r="Y15" s="22"/>
    </row>
    <row r="16" spans="1:25" ht="26.25" x14ac:dyDescent="0.25">
      <c r="A16" s="27" t="s">
        <v>61</v>
      </c>
      <c r="B16" s="13">
        <f>INT(
  (B7 - B12 * 'Start Page'!B2 - 'Main Page'!B11 * 'Main Page'!B10)
  / ('Start Page'!B3- 'Start Page'!B2)
)</f>
        <v>3</v>
      </c>
      <c r="L16" s="157" t="str">
        <f>IF('Stints List'!$I34,"",'Stints List'!$A34)</f>
        <v/>
      </c>
      <c r="M16" s="16" t="str">
        <f>IF('Stints List'!$I34,"",'Stints List'!$B34)</f>
        <v/>
      </c>
      <c r="N16" s="16" t="str">
        <f>IF('Stints List'!$I34,"",'Stints List'!$D34)</f>
        <v/>
      </c>
      <c r="O16" s="16" t="str">
        <f>IF('Stints List'!$I34,"",'Stints List'!$E34)</f>
        <v/>
      </c>
      <c r="P16" s="16" t="str">
        <f>IF('Stints List'!$I34,"",'Stints List'!$J34)</f>
        <v/>
      </c>
      <c r="Q16" s="16" t="str">
        <f>IF('Stints List'!$I34,"",'Stints List'!$M34)</f>
        <v/>
      </c>
      <c r="R16" s="150" t="str">
        <f>IF('Stints List'!$I34,"",'Stints List'!$P34)</f>
        <v/>
      </c>
      <c r="S16" s="16">
        <f>IFERROR(
   IF(Stints[[#This Row],[Stint '#]]&lt;&gt;"", 1, 0),
   0
)</f>
        <v>0</v>
      </c>
      <c r="Y16" s="22"/>
    </row>
    <row r="17" spans="1:25" ht="26.25" x14ac:dyDescent="0.25">
      <c r="A17" s="27" t="s">
        <v>62</v>
      </c>
      <c r="B17" s="13">
        <f>B12-B16</f>
        <v>5</v>
      </c>
      <c r="L17" s="157" t="str">
        <f>IF('Stints List'!$I33,"",'Stints List'!$A33)</f>
        <v/>
      </c>
      <c r="M17" s="16" t="str">
        <f>IF('Stints List'!$I33,"",'Stints List'!$B33)</f>
        <v/>
      </c>
      <c r="N17" s="16" t="str">
        <f>IF('Stints List'!$I33,"",'Stints List'!$D33)</f>
        <v/>
      </c>
      <c r="O17" s="16" t="str">
        <f>IF('Stints List'!$I33,"",'Stints List'!$E33)</f>
        <v/>
      </c>
      <c r="P17" s="16" t="str">
        <f>IF('Stints List'!$I33,"",'Stints List'!$J33)</f>
        <v/>
      </c>
      <c r="Q17" s="16" t="str">
        <f>IF('Stints List'!$I33,"",'Stints List'!$M33)</f>
        <v/>
      </c>
      <c r="R17" s="150" t="str">
        <f>IF('Stints List'!$I33,"",'Stints List'!$P33)</f>
        <v/>
      </c>
      <c r="S17" s="16">
        <f>IFERROR(
   IF(Stints[[#This Row],[Stint '#]]&lt;&gt;"", 1, 0),
   0
)</f>
        <v>0</v>
      </c>
      <c r="Y17" s="22"/>
    </row>
    <row r="18" spans="1:25" ht="26.25" x14ac:dyDescent="0.25">
      <c r="A18" s="27" t="s">
        <v>63</v>
      </c>
      <c r="B18" s="13">
        <f>IF(B17&gt;0,( B8 - B16 * 'Start Page'!$B$3- (B9-1) * 'Start Page'!$B$10)/ B17, 0)</f>
        <v>15</v>
      </c>
      <c r="L18" s="157" t="str">
        <f>IF('Stints List'!$I32,"",'Stints List'!$A32)</f>
        <v/>
      </c>
      <c r="M18" s="16" t="str">
        <f>IF('Stints List'!$I32,"",'Stints List'!$B32)</f>
        <v/>
      </c>
      <c r="N18" s="16" t="str">
        <f>IF('Stints List'!$I32,"",'Stints List'!$D32)</f>
        <v/>
      </c>
      <c r="O18" s="16" t="str">
        <f>IF('Stints List'!$I32,"",'Stints List'!$E32)</f>
        <v/>
      </c>
      <c r="P18" s="16" t="str">
        <f>IF('Stints List'!$I32,"",'Stints List'!$J32)</f>
        <v/>
      </c>
      <c r="Q18" s="16" t="str">
        <f>IF('Stints List'!$I32,"",'Stints List'!$M32)</f>
        <v/>
      </c>
      <c r="R18" s="150" t="str">
        <f>IF('Stints List'!$I32,"",'Stints List'!$P32)</f>
        <v/>
      </c>
      <c r="S18" s="16">
        <f>IFERROR(
   IF(Stints[[#This Row],[Stint '#]]&lt;&gt;"", 1, 0),
   0
)</f>
        <v>0</v>
      </c>
      <c r="Y18" s="22"/>
    </row>
    <row r="19" spans="1:25" ht="26.25" x14ac:dyDescent="0.25">
      <c r="A19" s="27"/>
      <c r="B19" s="13"/>
      <c r="L19" s="157" t="str">
        <f>IF('Stints List'!$I31,"",'Stints List'!$A31)</f>
        <v/>
      </c>
      <c r="M19" s="16" t="str">
        <f>IF('Stints List'!$I31,"",'Stints List'!$B31)</f>
        <v/>
      </c>
      <c r="N19" s="16" t="str">
        <f>IF('Stints List'!$I31,"",'Stints List'!$D31)</f>
        <v/>
      </c>
      <c r="O19" s="16" t="str">
        <f>IF('Stints List'!$I31,"",'Stints List'!$E31)</f>
        <v/>
      </c>
      <c r="P19" s="16" t="str">
        <f>IF('Stints List'!$I31,"",'Stints List'!$J31)</f>
        <v/>
      </c>
      <c r="Q19" s="16" t="str">
        <f>IF('Stints List'!$I31,"",'Stints List'!$M31)</f>
        <v/>
      </c>
      <c r="R19" s="150" t="str">
        <f>IF('Stints List'!$I31,"",'Stints List'!$P31)</f>
        <v/>
      </c>
      <c r="S19" s="16">
        <f>IFERROR(
   IF(Stints[[#This Row],[Stint '#]]&lt;&gt;"", 1, 0),
   0
)</f>
        <v>0</v>
      </c>
      <c r="Y19" s="22"/>
    </row>
    <row r="20" spans="1:25" ht="26.25" x14ac:dyDescent="0.25">
      <c r="A20" s="27"/>
      <c r="B20" s="13"/>
      <c r="L20" s="157" t="str">
        <f>IF('Stints List'!$I30,"",'Stints List'!$A30)</f>
        <v/>
      </c>
      <c r="M20" s="16" t="str">
        <f>IF('Stints List'!$I30,"",'Stints List'!$B30)</f>
        <v/>
      </c>
      <c r="N20" s="16" t="str">
        <f>IF('Stints List'!$I30,"",'Stints List'!$D30)</f>
        <v/>
      </c>
      <c r="O20" s="16" t="str">
        <f>IF('Stints List'!$I30,"",'Stints List'!$E30)</f>
        <v/>
      </c>
      <c r="P20" s="16" t="str">
        <f>IF('Stints List'!$I30,"",'Stints List'!$J30)</f>
        <v/>
      </c>
      <c r="Q20" s="16" t="str">
        <f>IF('Stints List'!$I30,"",'Stints List'!$M30)</f>
        <v/>
      </c>
      <c r="R20" s="150" t="str">
        <f>IF('Stints List'!$I30,"",'Stints List'!$P30)</f>
        <v/>
      </c>
      <c r="S20" s="16">
        <f>IFERROR(
   IF(Stints[[#This Row],[Stint '#]]&lt;&gt;"", 1, 0),
   0
)</f>
        <v>0</v>
      </c>
      <c r="Y20" s="22"/>
    </row>
    <row r="21" spans="1:25" ht="26.25" x14ac:dyDescent="0.25">
      <c r="A21" s="27"/>
      <c r="B21" s="13"/>
      <c r="L21" s="157" t="str">
        <f>IF('Stints List'!$I29,"",'Stints List'!$A29)</f>
        <v/>
      </c>
      <c r="M21" s="16" t="str">
        <f>IF('Stints List'!$I29,"",'Stints List'!$B29)</f>
        <v/>
      </c>
      <c r="N21" s="16" t="str">
        <f>IF('Stints List'!$I29,"",'Stints List'!$D29)</f>
        <v/>
      </c>
      <c r="O21" s="16" t="str">
        <f>IF('Stints List'!$I29,"",'Stints List'!$E29)</f>
        <v/>
      </c>
      <c r="P21" s="16" t="str">
        <f>IF('Stints List'!$I29,"",'Stints List'!$J29)</f>
        <v/>
      </c>
      <c r="Q21" s="16" t="str">
        <f>IF('Stints List'!$I29,"",'Stints List'!$M29)</f>
        <v/>
      </c>
      <c r="R21" s="150" t="str">
        <f>IF('Stints List'!$I29,"",'Stints List'!$P29)</f>
        <v/>
      </c>
      <c r="S21" s="16">
        <f>IFERROR(
   IF(Stints[[#This Row],[Stint '#]]&lt;&gt;"", 1, 0),
   0
)</f>
        <v>0</v>
      </c>
      <c r="Y21" s="22"/>
    </row>
    <row r="22" spans="1:25" ht="26.25" x14ac:dyDescent="0.25">
      <c r="A22" s="27"/>
      <c r="B22" s="13"/>
      <c r="L22" s="157" t="str">
        <f>IF('Stints List'!$I28,"",'Stints List'!$A28)</f>
        <v/>
      </c>
      <c r="M22" s="16" t="str">
        <f>IF('Stints List'!$I28,"",'Stints List'!$B28)</f>
        <v/>
      </c>
      <c r="N22" s="16" t="str">
        <f>IF('Stints List'!$I28,"",'Stints List'!$D28)</f>
        <v/>
      </c>
      <c r="O22" s="16" t="str">
        <f>IF('Stints List'!$I28,"",'Stints List'!$E28)</f>
        <v/>
      </c>
      <c r="P22" s="16" t="str">
        <f>IF('Stints List'!$I28,"",'Stints List'!$J28)</f>
        <v/>
      </c>
      <c r="Q22" s="16" t="str">
        <f>IF('Stints List'!$I28,"",'Stints List'!$M28)</f>
        <v/>
      </c>
      <c r="R22" s="150" t="str">
        <f>IF('Stints List'!$I28,"",'Stints List'!$P28)</f>
        <v/>
      </c>
      <c r="S22" s="16">
        <f>IFERROR(
   IF(Stints[[#This Row],[Stint '#]]&lt;&gt;"", 1, 0),
   0
)</f>
        <v>0</v>
      </c>
      <c r="Y22" s="22"/>
    </row>
    <row r="23" spans="1:25" ht="26.25" x14ac:dyDescent="0.25">
      <c r="A23" s="27"/>
      <c r="B23" s="13"/>
      <c r="L23" s="157" t="str">
        <f>IF('Stints List'!$I27,"",'Stints List'!$A27)</f>
        <v/>
      </c>
      <c r="M23" s="16" t="str">
        <f>IF('Stints List'!$I27,"",'Stints List'!$B27)</f>
        <v/>
      </c>
      <c r="N23" s="16" t="str">
        <f>IF('Stints List'!$I27,"",'Stints List'!$D27)</f>
        <v/>
      </c>
      <c r="O23" s="16" t="str">
        <f>IF('Stints List'!$I27,"",'Stints List'!$E27)</f>
        <v/>
      </c>
      <c r="P23" s="16" t="str">
        <f>IF('Stints List'!$I27,"",'Stints List'!$J27)</f>
        <v/>
      </c>
      <c r="Q23" s="16" t="str">
        <f>IF('Stints List'!$I27,"",'Stints List'!$M27)</f>
        <v/>
      </c>
      <c r="R23" s="150" t="str">
        <f>IF('Stints List'!$I27,"",'Stints List'!$P27)</f>
        <v/>
      </c>
      <c r="S23" s="16">
        <f>IFERROR(
   IF(Stints[[#This Row],[Stint '#]]&lt;&gt;"", 1, 0),
   0
)</f>
        <v>0</v>
      </c>
      <c r="Y23" s="22"/>
    </row>
    <row r="24" spans="1:25" x14ac:dyDescent="0.25">
      <c r="L24" s="157" t="str">
        <f>IF('Stints List'!$I26,"",'Stints List'!$A26)</f>
        <v/>
      </c>
      <c r="M24" s="16" t="str">
        <f>IF('Stints List'!$I26,"",'Stints List'!$B26)</f>
        <v/>
      </c>
      <c r="N24" s="16" t="str">
        <f>IF('Stints List'!$I26,"",'Stints List'!$D26)</f>
        <v/>
      </c>
      <c r="O24" s="16" t="str">
        <f>IF('Stints List'!$I26,"",'Stints List'!$E26)</f>
        <v/>
      </c>
      <c r="P24" s="16" t="str">
        <f>IF('Stints List'!$I26,"",'Stints List'!$J26)</f>
        <v/>
      </c>
      <c r="Q24" s="16" t="str">
        <f>IF('Stints List'!$I26,"",'Stints List'!$M26)</f>
        <v/>
      </c>
      <c r="R24" s="150" t="str">
        <f>IF('Stints List'!$I26,"",'Stints List'!$P26)</f>
        <v/>
      </c>
      <c r="S24" s="16">
        <f>IFERROR(
   IF(Stints[[#This Row],[Stint '#]]&lt;&gt;"", 1, 0),
   0
)</f>
        <v>0</v>
      </c>
      <c r="Y24" s="22"/>
    </row>
    <row r="25" spans="1:25" x14ac:dyDescent="0.25">
      <c r="L25" s="157" t="str">
        <f>IF('Stints List'!$I25,"",'Stints List'!$A25)</f>
        <v/>
      </c>
      <c r="M25" s="16" t="str">
        <f>IF('Stints List'!$I25,"",'Stints List'!$B25)</f>
        <v/>
      </c>
      <c r="N25" s="16" t="str">
        <f>IF('Stints List'!$I25,"",'Stints List'!$D25)</f>
        <v/>
      </c>
      <c r="O25" s="16" t="str">
        <f>IF('Stints List'!$I25,"",'Stints List'!$E25)</f>
        <v/>
      </c>
      <c r="P25" s="16" t="str">
        <f>IF('Stints List'!$I25,"",'Stints List'!$J25)</f>
        <v/>
      </c>
      <c r="Q25" s="16" t="str">
        <f>IF('Stints List'!$I25,"",'Stints List'!$M25)</f>
        <v/>
      </c>
      <c r="R25" s="150" t="str">
        <f>IF('Stints List'!$I25,"",'Stints List'!$P25)</f>
        <v/>
      </c>
      <c r="S25" s="16">
        <f>IFERROR(
   IF(Stints[[#This Row],[Stint '#]]&lt;&gt;"", 1, 0),
   0
)</f>
        <v>0</v>
      </c>
      <c r="Y25" s="22"/>
    </row>
    <row r="26" spans="1:25" x14ac:dyDescent="0.25">
      <c r="L26" s="157" t="str">
        <f>IF('Stints List'!$I24,"",'Stints List'!$A24)</f>
        <v/>
      </c>
      <c r="M26" s="16" t="str">
        <f>IF('Stints List'!$I24,"",'Stints List'!$B24)</f>
        <v/>
      </c>
      <c r="N26" s="16" t="str">
        <f>IF('Stints List'!$I24,"",'Stints List'!$D24)</f>
        <v/>
      </c>
      <c r="O26" s="16" t="str">
        <f>IF('Stints List'!$I24,"",'Stints List'!$E24)</f>
        <v/>
      </c>
      <c r="P26" s="16" t="str">
        <f>IF('Stints List'!$I24,"",'Stints List'!$J24)</f>
        <v/>
      </c>
      <c r="Q26" s="16" t="str">
        <f>IF('Stints List'!$I24,"",'Stints List'!$M24)</f>
        <v/>
      </c>
      <c r="R26" s="150" t="str">
        <f>IF('Stints List'!$I24,"",'Stints List'!$P24)</f>
        <v/>
      </c>
      <c r="S26" s="16">
        <f>IFERROR(
   IF(Stints[[#This Row],[Stint '#]]&lt;&gt;"", 1, 0),
   0
)</f>
        <v>0</v>
      </c>
      <c r="Y26" s="22"/>
    </row>
    <row r="27" spans="1:25" x14ac:dyDescent="0.25">
      <c r="L27" s="157" t="str">
        <f>IF('Stints List'!$I23,"",'Stints List'!$A23)</f>
        <v/>
      </c>
      <c r="M27" s="16" t="str">
        <f>IF('Stints List'!$I23,"",'Stints List'!$B23)</f>
        <v/>
      </c>
      <c r="N27" s="16" t="str">
        <f>IF('Stints List'!$I23,"",'Stints List'!$D23)</f>
        <v/>
      </c>
      <c r="O27" s="16" t="str">
        <f>IF('Stints List'!$I23,"",'Stints List'!$E23)</f>
        <v/>
      </c>
      <c r="P27" s="16" t="str">
        <f>IF('Stints List'!$I23,"",'Stints List'!$J23)</f>
        <v/>
      </c>
      <c r="Q27" s="16" t="str">
        <f>IF('Stints List'!$I23,"",'Stints List'!$M23)</f>
        <v/>
      </c>
      <c r="R27" s="150" t="str">
        <f>IF('Stints List'!$I23,"",'Stints List'!$P23)</f>
        <v/>
      </c>
      <c r="S27" s="16">
        <f>IFERROR(
   IF(Stints[[#This Row],[Stint '#]]&lt;&gt;"", 1, 0),
   0
)</f>
        <v>0</v>
      </c>
      <c r="Y27" s="22"/>
    </row>
    <row r="28" spans="1:25" x14ac:dyDescent="0.25">
      <c r="L28" s="157" t="str">
        <f>IF('Stints List'!$I22,"",'Stints List'!$A22)</f>
        <v/>
      </c>
      <c r="M28" s="16" t="str">
        <f>IF('Stints List'!$I22,"",'Stints List'!$B22)</f>
        <v/>
      </c>
      <c r="N28" s="16" t="str">
        <f>IF('Stints List'!$I22,"",'Stints List'!$D22)</f>
        <v/>
      </c>
      <c r="O28" s="16" t="str">
        <f>IF('Stints List'!$I22,"",'Stints List'!$E22)</f>
        <v/>
      </c>
      <c r="P28" s="16" t="str">
        <f>IF('Stints List'!$I22,"",'Stints List'!$J22)</f>
        <v/>
      </c>
      <c r="Q28" s="16" t="str">
        <f>IF('Stints List'!$I22,"",'Stints List'!$M22)</f>
        <v/>
      </c>
      <c r="R28" s="150" t="str">
        <f>IF('Stints List'!$I22,"",'Stints List'!$P22)</f>
        <v/>
      </c>
      <c r="S28" s="16">
        <f>IFERROR(
   IF(Stints[[#This Row],[Stint '#]]&lt;&gt;"", 1, 0),
   0
)</f>
        <v>0</v>
      </c>
      <c r="Y28" s="22"/>
    </row>
    <row r="29" spans="1:25" x14ac:dyDescent="0.25">
      <c r="L29" s="157" t="str">
        <f>IF('Stints List'!$I21,"",'Stints List'!$A21)</f>
        <v/>
      </c>
      <c r="M29" s="16" t="str">
        <f>IF('Stints List'!$I21,"",'Stints List'!$B21)</f>
        <v/>
      </c>
      <c r="N29" s="16" t="str">
        <f>IF('Stints List'!$I21,"",'Stints List'!$D21)</f>
        <v/>
      </c>
      <c r="O29" s="16" t="str">
        <f>IF('Stints List'!$I21,"",'Stints List'!$E21)</f>
        <v/>
      </c>
      <c r="P29" s="16" t="str">
        <f>IF('Stints List'!$I21,"",'Stints List'!$J21)</f>
        <v/>
      </c>
      <c r="Q29" s="16" t="str">
        <f>IF('Stints List'!$I21,"",'Stints List'!$M21)</f>
        <v/>
      </c>
      <c r="R29" s="150" t="str">
        <f>IF('Stints List'!$I21,"",'Stints List'!$P21)</f>
        <v/>
      </c>
      <c r="S29" s="16">
        <f>IFERROR(
   IF(Stints[[#This Row],[Stint '#]]&lt;&gt;"", 1, 0),
   0
)</f>
        <v>0</v>
      </c>
      <c r="Y29" s="22"/>
    </row>
    <row r="30" spans="1:25" x14ac:dyDescent="0.25">
      <c r="L30" s="157" t="str">
        <f>IF('Stints List'!$I20,"",'Stints List'!$A20)</f>
        <v/>
      </c>
      <c r="M30" s="16" t="str">
        <f>IF('Stints List'!$I20,"",'Stints List'!$B20)</f>
        <v/>
      </c>
      <c r="N30" s="16" t="str">
        <f>IF('Stints List'!$I20,"",'Stints List'!$D20)</f>
        <v/>
      </c>
      <c r="O30" s="16" t="str">
        <f>IF('Stints List'!$I20,"",'Stints List'!$E20)</f>
        <v/>
      </c>
      <c r="P30" s="16" t="str">
        <f>IF('Stints List'!$I20,"",'Stints List'!$J20)</f>
        <v/>
      </c>
      <c r="Q30" s="16" t="str">
        <f>IF('Stints List'!$I20,"",'Stints List'!$M20)</f>
        <v/>
      </c>
      <c r="R30" s="150" t="str">
        <f>IF('Stints List'!$I20,"",'Stints List'!$P20)</f>
        <v/>
      </c>
      <c r="S30" s="16">
        <f>IFERROR(
   IF(Stints[[#This Row],[Stint '#]]&lt;&gt;"", 1, 0),
   0
)</f>
        <v>0</v>
      </c>
      <c r="Y30" s="22"/>
    </row>
    <row r="31" spans="1:25" x14ac:dyDescent="0.25">
      <c r="L31" s="157" t="str">
        <f>IF('Stints List'!$I19,"",'Stints List'!$A19)</f>
        <v/>
      </c>
      <c r="M31" s="16" t="str">
        <f>IF('Stints List'!$I19,"",'Stints List'!$B19)</f>
        <v/>
      </c>
      <c r="N31" s="16" t="str">
        <f>IF('Stints List'!$I19,"",'Stints List'!$D19)</f>
        <v/>
      </c>
      <c r="O31" s="16" t="str">
        <f>IF('Stints List'!$I19,"",'Stints List'!$E19)</f>
        <v/>
      </c>
      <c r="P31" s="16" t="str">
        <f>IF('Stints List'!$I19,"",'Stints List'!$J19)</f>
        <v/>
      </c>
      <c r="Q31" s="16" t="str">
        <f>IF('Stints List'!$I19,"",'Stints List'!$M19)</f>
        <v/>
      </c>
      <c r="R31" s="150" t="str">
        <f>IF('Stints List'!$I19,"",'Stints List'!$P19)</f>
        <v/>
      </c>
      <c r="S31" s="16">
        <f>IFERROR(
   IF(Stints[[#This Row],[Stint '#]]&lt;&gt;"", 1, 0),
   0
)</f>
        <v>0</v>
      </c>
      <c r="Y31" s="22"/>
    </row>
    <row r="32" spans="1:25" x14ac:dyDescent="0.25">
      <c r="L32" s="157" t="str">
        <f>IF('Stints List'!$I18,"",'Stints List'!$A18)</f>
        <v/>
      </c>
      <c r="M32" s="16" t="str">
        <f>IF('Stints List'!$I18,"",'Stints List'!$B18)</f>
        <v/>
      </c>
      <c r="N32" s="16" t="str">
        <f>IF('Stints List'!$I18,"",'Stints List'!$D18)</f>
        <v/>
      </c>
      <c r="O32" s="16" t="str">
        <f>IF('Stints List'!$I18,"",'Stints List'!$E18)</f>
        <v/>
      </c>
      <c r="P32" s="16" t="str">
        <f>IF('Stints List'!$I18,"",'Stints List'!$J18)</f>
        <v/>
      </c>
      <c r="Q32" s="16" t="str">
        <f>IF('Stints List'!$I18,"",'Stints List'!$M18)</f>
        <v/>
      </c>
      <c r="R32" s="150" t="str">
        <f>IF('Stints List'!$I18,"",'Stints List'!$P18)</f>
        <v/>
      </c>
      <c r="S32" s="16">
        <f>IFERROR(
   IF(Stints[[#This Row],[Stint '#]]&lt;&gt;"", 1, 0),
   0
)</f>
        <v>0</v>
      </c>
      <c r="Y32" s="22"/>
    </row>
    <row r="33" spans="12:25" x14ac:dyDescent="0.25">
      <c r="L33" s="157" t="str">
        <f>IF('Stints List'!$I17,"",'Stints List'!$A17)</f>
        <v/>
      </c>
      <c r="M33" s="16" t="str">
        <f>IF('Stints List'!$I17,"",'Stints List'!$B17)</f>
        <v/>
      </c>
      <c r="N33" s="16" t="str">
        <f>IF('Stints List'!$I17,"",'Stints List'!$D17)</f>
        <v/>
      </c>
      <c r="O33" s="16" t="str">
        <f>IF('Stints List'!$I17,"",'Stints List'!$E17)</f>
        <v/>
      </c>
      <c r="P33" s="16" t="str">
        <f>IF('Stints List'!$I17,"",'Stints List'!$J17)</f>
        <v/>
      </c>
      <c r="Q33" s="16" t="str">
        <f>IF('Stints List'!$I17,"",'Stints List'!$M17)</f>
        <v/>
      </c>
      <c r="R33" s="150" t="str">
        <f>IF('Stints List'!$I17,"",'Stints List'!$P17)</f>
        <v/>
      </c>
      <c r="S33" s="16">
        <f>IFERROR(
   IF(Stints[[#This Row],[Stint '#]]&lt;&gt;"", 1, 0),
   0
)</f>
        <v>0</v>
      </c>
      <c r="Y33" s="22"/>
    </row>
    <row r="34" spans="12:25" x14ac:dyDescent="0.25">
      <c r="L34" s="157" t="str">
        <f>IF('Stints List'!$I16,"",'Stints List'!$A16)</f>
        <v/>
      </c>
      <c r="M34" s="16" t="str">
        <f>IF('Stints List'!$I16,"",'Stints List'!$B16)</f>
        <v/>
      </c>
      <c r="N34" s="16" t="str">
        <f>IF('Stints List'!$I16,"",'Stints List'!$D16)</f>
        <v/>
      </c>
      <c r="O34" s="16" t="str">
        <f>IF('Stints List'!$I16,"",'Stints List'!$E16)</f>
        <v/>
      </c>
      <c r="P34" s="16" t="str">
        <f>IF('Stints List'!$I16,"",'Stints List'!$J16)</f>
        <v/>
      </c>
      <c r="Q34" s="16" t="str">
        <f>IF('Stints List'!$I16,"",'Stints List'!$M16)</f>
        <v/>
      </c>
      <c r="R34" s="150" t="str">
        <f>IF('Stints List'!$I16,"",'Stints List'!$P16)</f>
        <v/>
      </c>
      <c r="S34" s="16">
        <f>IFERROR(
   IF(Stints[[#This Row],[Stint '#]]&lt;&gt;"", 1, 0),
   0
)</f>
        <v>0</v>
      </c>
      <c r="Y34" s="22"/>
    </row>
    <row r="35" spans="12:25" x14ac:dyDescent="0.25">
      <c r="L35" s="157" t="str">
        <f>IF('Stints List'!$I15,"",'Stints List'!$A15)</f>
        <v/>
      </c>
      <c r="M35" s="16" t="str">
        <f>IF('Stints List'!$I15,"",'Stints List'!$B15)</f>
        <v/>
      </c>
      <c r="N35" s="16" t="str">
        <f>IF('Stints List'!$I15,"",'Stints List'!$D15)</f>
        <v/>
      </c>
      <c r="O35" s="16" t="str">
        <f>IF('Stints List'!$I15,"",'Stints List'!$E15)</f>
        <v/>
      </c>
      <c r="P35" s="16" t="str">
        <f>IF('Stints List'!$I15,"",'Stints List'!$J15)</f>
        <v/>
      </c>
      <c r="Q35" s="16" t="str">
        <f>IF('Stints List'!$I15,"",'Stints List'!$M15)</f>
        <v/>
      </c>
      <c r="R35" s="150" t="str">
        <f>IF('Stints List'!$I15,"",'Stints List'!$P15)</f>
        <v/>
      </c>
      <c r="S35" s="16">
        <f>IFERROR(
   IF(Stints[[#This Row],[Stint '#]]&lt;&gt;"", 1, 0),
   0
)</f>
        <v>0</v>
      </c>
      <c r="Y35" s="22"/>
    </row>
    <row r="36" spans="12:25" x14ac:dyDescent="0.25">
      <c r="L36" s="157" t="str">
        <f>IF('Stints List'!$I35,"",'Stints List'!$A35)</f>
        <v/>
      </c>
      <c r="M36" s="16" t="str">
        <f>IF('Stints List'!$I35,"",'Stints List'!$B35)</f>
        <v/>
      </c>
      <c r="N36" s="16" t="str">
        <f>IF('Stints List'!$I35,"",'Stints List'!$D35)</f>
        <v/>
      </c>
      <c r="O36" s="16" t="str">
        <f>IF('Stints List'!$I35,"",'Stints List'!$E35)</f>
        <v/>
      </c>
      <c r="P36" s="16" t="str">
        <f>IF('Stints List'!$I35,"",'Stints List'!$J35)</f>
        <v/>
      </c>
      <c r="Q36" s="16" t="str">
        <f>IF('Stints List'!$I35,"",'Stints List'!$M35)</f>
        <v/>
      </c>
      <c r="R36" s="150" t="str">
        <f>IF('Stints List'!$I35,"",'Stints List'!$P35)</f>
        <v/>
      </c>
      <c r="S36" s="16">
        <f>IFERROR(
   IF(Stints[[#This Row],[Stint '#]]&lt;&gt;"", 1, 0),
   0
)</f>
        <v>0</v>
      </c>
      <c r="Y36" s="22"/>
    </row>
    <row r="37" spans="12:25" x14ac:dyDescent="0.25">
      <c r="L37" s="158" t="str">
        <f>IF('Stints List'!$I36,"",'Stints List'!$A36)</f>
        <v/>
      </c>
      <c r="M37" s="153" t="str">
        <f>IF('Stints List'!$I36,"",'Stints List'!$B36)</f>
        <v/>
      </c>
      <c r="N37" s="153" t="str">
        <f>IF('Stints List'!$I36,"",'Stints List'!$D36)</f>
        <v/>
      </c>
      <c r="O37" s="153" t="str">
        <f>IF('Stints List'!$I36,"",'Stints List'!$E36)</f>
        <v/>
      </c>
      <c r="P37" s="153" t="str">
        <f>IF('Stints List'!$I36,"",'Stints List'!$J36)</f>
        <v/>
      </c>
      <c r="Q37" s="153" t="str">
        <f>IF('Stints List'!$I36,"",'Stints List'!$M36)</f>
        <v/>
      </c>
      <c r="R37" s="154" t="str">
        <f>IF('Stints List'!$I36,"",'Stints List'!$P36)</f>
        <v/>
      </c>
      <c r="S37" s="153">
        <f>IFERROR(
   IF(Stints[[#This Row],[Stint '#]]&lt;&gt;"", 1, 0),
   0
)</f>
        <v>0</v>
      </c>
      <c r="Y37" s="22"/>
    </row>
    <row r="38" spans="12:25" x14ac:dyDescent="0.25">
      <c r="L38" s="160"/>
      <c r="M38" s="161" t="str">
        <f>IF('Stints List'!$I37,"",'Stints List'!$B37)</f>
        <v/>
      </c>
      <c r="N38" s="161" t="str">
        <f>IF('Stints List'!$I37,"",'Stints List'!$E37)</f>
        <v/>
      </c>
      <c r="O38" s="161" t="str">
        <f>IF('Stints List'!$I37,"",'Stints List'!$D37)</f>
        <v/>
      </c>
      <c r="P38" s="161" t="str">
        <f>IF('Stints List'!$I37,"",'Stints List'!$J37)</f>
        <v/>
      </c>
      <c r="Q38" s="161" t="str">
        <f>IF('Stints List'!$I37,"",'Stints List'!$M37)</f>
        <v/>
      </c>
      <c r="R38" s="162" t="str">
        <f>IF('Stints List'!$I37,"",'Stints List'!$P37)</f>
        <v/>
      </c>
      <c r="X38" s="22"/>
    </row>
    <row r="39" spans="12:25" x14ac:dyDescent="0.25">
      <c r="X39" s="22"/>
    </row>
    <row r="40" spans="12:25" x14ac:dyDescent="0.25">
      <c r="X40" s="22"/>
    </row>
    <row r="41" spans="12:25" x14ac:dyDescent="0.25">
      <c r="X41" s="22"/>
    </row>
    <row r="42" spans="12:25" x14ac:dyDescent="0.25">
      <c r="X42" s="22"/>
    </row>
    <row r="43" spans="12:25" x14ac:dyDescent="0.25">
      <c r="X43" s="22"/>
    </row>
    <row r="44" spans="12:25" x14ac:dyDescent="0.25">
      <c r="X44" s="22"/>
    </row>
    <row r="45" spans="12:25" x14ac:dyDescent="0.25">
      <c r="X45" s="22"/>
    </row>
    <row r="46" spans="12:25" x14ac:dyDescent="0.25">
      <c r="X46" s="22"/>
    </row>
    <row r="47" spans="12:25" x14ac:dyDescent="0.25">
      <c r="X47" s="22"/>
    </row>
    <row r="48" spans="12:25" x14ac:dyDescent="0.25">
      <c r="X48" s="22"/>
    </row>
    <row r="49" spans="18:24" x14ac:dyDescent="0.25">
      <c r="X49" s="22"/>
    </row>
    <row r="50" spans="18:24" x14ac:dyDescent="0.25">
      <c r="X50" s="22"/>
    </row>
    <row r="51" spans="18:24" x14ac:dyDescent="0.25">
      <c r="R51" s="21" t="str" cm="1">
        <f t="array" ref="R51">IF('Stints List'!$I45,"",'Stints List'!$A45:$E45)</f>
        <v/>
      </c>
      <c r="S51" s="21" t="str">
        <f>IF('Stints List'!$I45,"",'Stints List'!$E45)</f>
        <v/>
      </c>
      <c r="X51" s="22"/>
    </row>
  </sheetData>
  <sortState xmlns:xlrd2="http://schemas.microsoft.com/office/spreadsheetml/2017/richdata2" ref="L3:R38">
    <sortCondition descending="1" ref="L3"/>
  </sortState>
  <mergeCells count="2">
    <mergeCell ref="D13:G13"/>
    <mergeCell ref="L1:R1"/>
  </mergeCells>
  <conditionalFormatting sqref="B13">
    <cfRule type="colorScale" priority="11">
      <colorScale>
        <cfvo type="percent" val="0"/>
        <cfvo type="percent" val="50"/>
        <cfvo type="percent" val="100"/>
        <color rgb="FFF8696B"/>
        <color rgb="FFFFEB84"/>
        <color rgb="FF63BE7B"/>
      </colorScale>
    </cfRule>
  </conditionalFormatting>
  <conditionalFormatting sqref="I3:I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7">
    <cfRule type="colorScale" priority="1">
      <colorScale>
        <cfvo type="percent" val="0"/>
        <cfvo type="percent" val="10"/>
        <cfvo type="percent" val="100"/>
        <color rgb="FFFF0000"/>
        <color theme="0"/>
        <color theme="9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2_Click">
                <anchor moveWithCells="1" sizeWithCells="1">
                  <from>
                    <xdr:col>2</xdr:col>
                    <xdr:colOff>323850</xdr:colOff>
                    <xdr:row>0</xdr:row>
                    <xdr:rowOff>9525</xdr:rowOff>
                  </from>
                  <to>
                    <xdr:col>4</xdr:col>
                    <xdr:colOff>571500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" operator="containsText" id="{C80C4455-F759-4AC6-8E7C-AC11D0F75936}">
            <xm:f>NOT(ISERROR(SEARCH("",N3)))</xm:f>
            <xm:f>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R38:S51 T32:T37 N3:S37</xm:sqref>
        </x14:conditionalFormatting>
        <x14:conditionalFormatting xmlns:xm="http://schemas.microsoft.com/office/excel/2006/main">
          <x14:cfRule type="cellIs" priority="10" operator="greaterThan" id="{6080B2E4-C3E3-454B-A5A7-A423C58171CD}">
            <xm:f>'Start Page'!$B$2</xm:f>
            <x14:dxf>
              <fill>
                <patternFill>
                  <bgColor rgb="FF00B050"/>
                </patternFill>
              </fill>
            </x14:dxf>
          </x14:cfRule>
          <xm:sqref>B14</xm:sqref>
        </x14:conditionalFormatting>
        <x14:conditionalFormatting xmlns:xm="http://schemas.microsoft.com/office/excel/2006/main">
          <x14:cfRule type="containsText" priority="8" operator="containsText" id="{90F02801-B0F2-4EA5-ABBA-2B314FB64203}">
            <xm:f>NOT(ISERROR(SEARCH("",L3)))</xm:f>
            <xm:f>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L3:L37</xm:sqref>
        </x14:conditionalFormatting>
        <x14:conditionalFormatting xmlns:xm="http://schemas.microsoft.com/office/excel/2006/main">
          <x14:cfRule type="containsText" priority="7" operator="containsText" id="{E77FB84C-8CC5-458F-8EB8-AC994C93167B}">
            <xm:f>NOT(ISERROR(SEARCH("",M3)))</xm:f>
            <xm:f>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M3:M37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C60A06-710C-433F-8751-D7DC976E8BD2}">
          <x14:formula1>
            <xm:f>'Start Page'!$B$16:$B$20</xm:f>
          </x14:formula1>
          <xm:sqref>B5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136B1028-3BC0-455F-B07A-B7E71256F97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'Stints List'!H$1:H$50</xm:f>
              <xm:sqref>F19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1DCA8-156D-4694-B2FD-8B4BF58E06AE}">
  <sheetPr codeName="Feuil1"/>
  <dimension ref="A1:M63"/>
  <sheetViews>
    <sheetView workbookViewId="0">
      <selection activeCell="B3" sqref="B3"/>
    </sheetView>
  </sheetViews>
  <sheetFormatPr baseColWidth="10" defaultColWidth="9.140625" defaultRowHeight="15.75" x14ac:dyDescent="0.25"/>
  <cols>
    <col min="1" max="1" width="45.28515625" style="3" bestFit="1" customWidth="1"/>
    <col min="2" max="2" width="77.28515625" style="3" bestFit="1" customWidth="1"/>
    <col min="3" max="5" width="11.5703125" style="3" customWidth="1"/>
    <col min="6" max="6" width="23.7109375" style="3" bestFit="1" customWidth="1"/>
    <col min="7" max="7" width="23.7109375" style="3" customWidth="1"/>
    <col min="8" max="8" width="13.42578125" style="3" bestFit="1" customWidth="1"/>
    <col min="9" max="9" width="11.5703125" style="3" customWidth="1"/>
    <col min="10" max="10" width="12.5703125" style="3" customWidth="1"/>
    <col min="11" max="13" width="9.140625" style="14"/>
  </cols>
  <sheetData>
    <row r="1" spans="1:10" x14ac:dyDescent="0.25">
      <c r="A1" s="3" t="s">
        <v>46</v>
      </c>
      <c r="B1" s="7" t="s">
        <v>47</v>
      </c>
      <c r="C1" s="3" t="s">
        <v>48</v>
      </c>
      <c r="D1" s="3" t="s">
        <v>49</v>
      </c>
      <c r="E1" s="3" t="s">
        <v>50</v>
      </c>
      <c r="F1" s="3" t="s">
        <v>51</v>
      </c>
      <c r="G1" s="3" t="s">
        <v>52</v>
      </c>
      <c r="H1" s="3" t="s">
        <v>53</v>
      </c>
      <c r="I1" s="3" t="s">
        <v>54</v>
      </c>
      <c r="J1" s="3" t="s">
        <v>55</v>
      </c>
    </row>
    <row r="2" spans="1:10" x14ac:dyDescent="0.25">
      <c r="A2" s="3" t="s">
        <v>19</v>
      </c>
      <c r="B2" s="7">
        <f>'Start Page'!$B$1*60</f>
        <v>240</v>
      </c>
    </row>
    <row r="3" spans="1:10" x14ac:dyDescent="0.25">
      <c r="A3" s="3" t="s">
        <v>11</v>
      </c>
      <c r="B3" s="8">
        <f>B2- SUMPRODUCT('Stints List'!$G$2:$G$50) - SUMPRODUCT('Stints List'!$L$2:$L$50)</f>
        <v>240</v>
      </c>
      <c r="E3" s="9" t="s">
        <v>4</v>
      </c>
      <c r="F3" s="9" t="s">
        <v>26</v>
      </c>
      <c r="G3" s="9" t="s">
        <v>27</v>
      </c>
      <c r="H3" s="9" t="s">
        <v>24</v>
      </c>
      <c r="I3" s="9" t="s">
        <v>28</v>
      </c>
      <c r="J3" s="9" t="s">
        <v>8</v>
      </c>
    </row>
    <row r="4" spans="1:10" x14ac:dyDescent="0.25">
      <c r="A4" s="3" t="s">
        <v>20</v>
      </c>
      <c r="B4" s="7">
        <f>$B$3-'Start Page'!$B$6</f>
        <v>225</v>
      </c>
      <c r="E4" s="9">
        <f>IF(
  ROW() - ROW($E$4) + 1 &lt;= $B$6, ROW() - ROW($E$4) + 1, "")</f>
        <v>1</v>
      </c>
      <c r="F4" s="9">
        <f>'Calculations v2'!B8</f>
        <v>110</v>
      </c>
      <c r="G4" s="9" t="str">
        <f>'Stints List'!H2</f>
        <v/>
      </c>
      <c r="H4" s="4">
        <f>'Stints List'!E2</f>
        <v>0</v>
      </c>
      <c r="I4" s="9" t="b">
        <f>IF($J4,"",IF(AND('Start Page'!$B$2&lt;$H4,$H4&lt;'Start Page'!$B$3),TRUE,FALSE))</f>
        <v>0</v>
      </c>
      <c r="J4" s="9" t="b">
        <f>ISBLANK($E4)</f>
        <v>0</v>
      </c>
    </row>
    <row r="5" spans="1:10" x14ac:dyDescent="0.25">
      <c r="A5" s="3" t="s">
        <v>13</v>
      </c>
      <c r="B5" s="7">
        <f>'Start Page'!$B$4-COUNTA('Stints List'!$E$2:$E$50)</f>
        <v>7</v>
      </c>
      <c r="E5" s="9">
        <v>2</v>
      </c>
      <c r="F5" s="9" t="str">
        <f>IF($J5,"",$G4)</f>
        <v/>
      </c>
      <c r="G5" s="9" t="str">
        <f>'Stints List'!H3</f>
        <v/>
      </c>
      <c r="H5" s="4">
        <f>'Stints List'!E3</f>
        <v>0</v>
      </c>
      <c r="I5" s="9" t="b">
        <f>IF($J5,"",IF(AND('Start Page'!$B$2&lt;$H5,$H5&lt;'Start Page'!$B$3),TRUE,FALSE))</f>
        <v>0</v>
      </c>
      <c r="J5" s="9" t="b">
        <f t="shared" ref="J5:J41" si="0">ISBLANK($E5)</f>
        <v>0</v>
      </c>
    </row>
    <row r="6" spans="1:10" x14ac:dyDescent="0.25">
      <c r="A6" s="3" t="s">
        <v>21</v>
      </c>
      <c r="B6" s="7">
        <f>$B$5+1</f>
        <v>8</v>
      </c>
      <c r="E6" s="9">
        <f>IF(
  ROW() - ROW($E$4) + 1 &lt;= $B$6, ROW() - ROW($E$4) + 1, "")</f>
        <v>3</v>
      </c>
      <c r="F6" s="9" t="str">
        <f t="shared" ref="F6:F23" si="1">IF($J6,"",$G5)</f>
        <v/>
      </c>
      <c r="G6" s="9" t="str">
        <f>'Stints List'!H4</f>
        <v/>
      </c>
      <c r="H6" s="4">
        <f>'Stints List'!E4</f>
        <v>0</v>
      </c>
      <c r="I6" s="9" t="b">
        <f>IF($J6,"",IF(AND('Start Page'!$B$2&lt;$H6,$H6&lt;'Start Page'!$B$3),TRUE,FALSE))</f>
        <v>0</v>
      </c>
      <c r="J6" s="9" t="b">
        <f t="shared" si="0"/>
        <v>0</v>
      </c>
    </row>
    <row r="7" spans="1:10" x14ac:dyDescent="0.25">
      <c r="A7" s="3" t="s">
        <v>22</v>
      </c>
      <c r="B7" s="7">
        <f>$B$2/'Start Page'!$B$4</f>
        <v>34.285714285714285</v>
      </c>
      <c r="E7" s="9">
        <v>4</v>
      </c>
      <c r="F7" s="9" t="str">
        <f t="shared" si="1"/>
        <v/>
      </c>
      <c r="G7" s="9" t="str">
        <f>'Stints List'!H5</f>
        <v/>
      </c>
      <c r="H7" s="4">
        <f>'Stints List'!E5</f>
        <v>0</v>
      </c>
      <c r="I7" s="9" t="b">
        <f>IF($J7,"",IF(AND('Start Page'!$B$2&lt;$H7,$H7&lt;'Start Page'!$B$3),TRUE,FALSE))</f>
        <v>0</v>
      </c>
      <c r="J7" s="9" t="b">
        <f t="shared" si="0"/>
        <v>0</v>
      </c>
    </row>
    <row r="8" spans="1:10" x14ac:dyDescent="0.25">
      <c r="A8" s="24" t="s">
        <v>23</v>
      </c>
      <c r="B8" s="7">
        <f>'Start Page'!$B$4*('Start Page'!$B$3-'Calculations v2'!$B$7)</f>
        <v>110</v>
      </c>
      <c r="E8" s="9">
        <f>IF(
  ROW() - ROW($E$4) + 1 &lt;= $B$6, ROW() - ROW($E$4) + 1, "")</f>
        <v>5</v>
      </c>
      <c r="F8" s="9" t="str">
        <f t="shared" si="1"/>
        <v/>
      </c>
      <c r="G8" s="9" t="str">
        <f>'Stints List'!H6</f>
        <v/>
      </c>
      <c r="H8" s="4">
        <f>'Stints List'!E6</f>
        <v>0</v>
      </c>
      <c r="I8" s="9" t="b">
        <f>IF($J8,"",IF(AND('Start Page'!$B$2&lt;$H8,$H8&lt;'Start Page'!$B$3),TRUE,FALSE))</f>
        <v>0</v>
      </c>
      <c r="J8" s="9" t="b">
        <f t="shared" si="0"/>
        <v>0</v>
      </c>
    </row>
    <row r="9" spans="1:10" x14ac:dyDescent="0.25">
      <c r="A9" s="24" t="s">
        <v>25</v>
      </c>
      <c r="B9" s="7">
        <f>IF(
  COUNT('Stints List'!$H$2:$H$50)=0,
  $B8,
  INDEX(
    'Stints List'!$H$2:$H$50,
    COUNT('Stints List'!$H$2:$H$50)
  )
)</f>
        <v>110</v>
      </c>
      <c r="E9" s="9">
        <v>6</v>
      </c>
      <c r="F9" s="9" t="str">
        <f t="shared" si="1"/>
        <v/>
      </c>
      <c r="G9" s="9" t="str">
        <f>'Stints List'!H7</f>
        <v/>
      </c>
      <c r="H9" s="4">
        <f>'Stints List'!E7</f>
        <v>0</v>
      </c>
      <c r="I9" s="9" t="b">
        <f>IF($J9,"",IF(AND('Start Page'!$B$2&lt;$H9,$H9&lt;'Start Page'!$B$3),TRUE,FALSE))</f>
        <v>0</v>
      </c>
      <c r="J9" s="9" t="b">
        <f t="shared" si="0"/>
        <v>0</v>
      </c>
    </row>
    <row r="10" spans="1:10" x14ac:dyDescent="0.25">
      <c r="A10" s="24" t="s">
        <v>32</v>
      </c>
      <c r="B10" s="7" t="str">
        <f>QUOTIENT($B3,60)&amp;":"&amp;
IF(QUOTIENT((($B3-QUOTIENT($B3,60)*60)*60),60)=0,"00",QUOTIENT((($B3-QUOTIENT($B3,60)*60)*60),60))&amp;
":"&amp;
IF(MOD((($B3-QUOTIENT($B3,60)*60)*60),60)=0,"00",TEXT(MOD((($B3-QUOTIENT($B3,60)*60)*60),60),"0"))</f>
        <v>4:00:00</v>
      </c>
      <c r="E10" s="9">
        <f>IF(
  ROW() - ROW($E$4) + 1 &lt;= $B$6, ROW() - ROW($E$4) + 1, "")</f>
        <v>7</v>
      </c>
      <c r="F10" s="9" t="str">
        <f t="shared" si="1"/>
        <v/>
      </c>
      <c r="G10" s="9" t="str">
        <f>'Stints List'!H8</f>
        <v/>
      </c>
      <c r="H10" s="4">
        <f>'Stints List'!E8</f>
        <v>0</v>
      </c>
      <c r="I10" s="9" t="b">
        <f>IF($J10,"",IF(AND('Start Page'!$B$2&lt;$H10,$H10&lt;'Start Page'!$B$3),TRUE,FALSE))</f>
        <v>0</v>
      </c>
      <c r="J10" s="9" t="b">
        <f t="shared" si="0"/>
        <v>0</v>
      </c>
    </row>
    <row r="11" spans="1:10" x14ac:dyDescent="0.25">
      <c r="A11" s="24" t="s">
        <v>33</v>
      </c>
      <c r="B11" s="7" t="str">
        <f>QUOTIENT($B4,60)&amp;":"&amp;IF(QUOTIENT((($B4-QUOTIENT($B4,60)*60)*60),60)=0,"00",QUOTIENT((($B4-QUOTIENT($B4,60)*60)*60),60))&amp;":"&amp;IF(MOD((($B4-QUOTIENT($B4,60)*60)*60),60)=0,"00",TEXT(MOD((($B4-QUOTIENT($B4,60)*60)*60),60),"0"))</f>
        <v>3:45:00</v>
      </c>
      <c r="E11" s="9">
        <v>8</v>
      </c>
      <c r="F11" s="9" t="str">
        <f t="shared" si="1"/>
        <v/>
      </c>
      <c r="G11" s="9" t="str">
        <f>'Stints List'!H9</f>
        <v/>
      </c>
      <c r="H11" s="4">
        <f>'Stints List'!E9</f>
        <v>0</v>
      </c>
      <c r="I11" s="9" t="b">
        <f>IF($J11,"",IF(AND('Start Page'!$B$2&lt;$H11,$H11&lt;'Start Page'!$B$3),TRUE,FALSE))</f>
        <v>0</v>
      </c>
      <c r="J11" s="9" t="b">
        <f t="shared" si="0"/>
        <v>0</v>
      </c>
    </row>
    <row r="12" spans="1:10" x14ac:dyDescent="0.25">
      <c r="A12" s="24" t="s">
        <v>29</v>
      </c>
      <c r="B12" s="7">
        <f>COUNTIF(
  $H$4:$H$41,
  'Start Page'!$B$2
)</f>
        <v>0</v>
      </c>
      <c r="E12" s="9">
        <v>9</v>
      </c>
      <c r="F12" s="9" t="str">
        <f t="shared" si="1"/>
        <v/>
      </c>
      <c r="G12" s="9" t="str">
        <f>'Stints List'!H10</f>
        <v/>
      </c>
      <c r="H12" s="4">
        <f>'Stints List'!E10</f>
        <v>0</v>
      </c>
      <c r="I12" s="9" t="b">
        <f>IF($J12,"",IF(AND('Start Page'!$B$2&lt;$H12,$H12&lt;'Start Page'!$B$3),TRUE,FALSE))</f>
        <v>0</v>
      </c>
      <c r="J12" s="9" t="b">
        <f t="shared" si="0"/>
        <v>0</v>
      </c>
    </row>
    <row r="13" spans="1:10" x14ac:dyDescent="0.25">
      <c r="A13" s="24" t="s">
        <v>30</v>
      </c>
      <c r="B13" s="7">
        <f>COUNTIF($H$4:$H$41,'Start Page'!$B$3)</f>
        <v>0</v>
      </c>
      <c r="E13" s="9">
        <v>10</v>
      </c>
      <c r="F13" s="9" t="str">
        <f t="shared" si="1"/>
        <v/>
      </c>
      <c r="G13" s="9" t="str">
        <f>'Stints List'!H11</f>
        <v/>
      </c>
      <c r="H13" s="4">
        <f>'Stints List'!E11</f>
        <v>0</v>
      </c>
      <c r="I13" s="9" t="b">
        <f>IF($J13,"",IF(AND('Start Page'!$B$2&lt;$H13,$H13&lt;'Start Page'!$B$3),TRUE,FALSE))</f>
        <v>0</v>
      </c>
      <c r="J13" s="9" t="b">
        <f t="shared" si="0"/>
        <v>0</v>
      </c>
    </row>
    <row r="14" spans="1:10" x14ac:dyDescent="0.25">
      <c r="A14" s="24" t="s">
        <v>31</v>
      </c>
      <c r="B14" s="7" t="b">
        <f>IF(NOT(ISERROR(VLOOKUP(TRUE,$I$4:$I$41,1,FALSE))),TRUE,FALSE)</f>
        <v>0</v>
      </c>
      <c r="E14" s="9">
        <v>11</v>
      </c>
      <c r="F14" s="9" t="str">
        <f t="shared" si="1"/>
        <v/>
      </c>
      <c r="G14" s="9" t="str">
        <f>'Stints List'!H12</f>
        <v/>
      </c>
      <c r="H14" s="4">
        <f>'Stints List'!E12</f>
        <v>0</v>
      </c>
      <c r="I14" s="9" t="b">
        <f>IF($J14,"",IF(AND('Start Page'!$B$2&lt;$H14,$H14&lt;'Start Page'!$B$3),TRUE,FALSE))</f>
        <v>0</v>
      </c>
      <c r="J14" s="9" t="b">
        <f t="shared" si="0"/>
        <v>0</v>
      </c>
    </row>
    <row r="15" spans="1:10" x14ac:dyDescent="0.25">
      <c r="A15" s="24" t="s">
        <v>12</v>
      </c>
      <c r="B15" s="7" t="str">
        <f>IF($B$14,_xlfn.LET(_xlpm.extra_time,_xlfn.XLOOKUP(TRUE,$I$4:$I$41,$H$4:$H$41,,0)*60,_xlpm.remaining_seconds,FIXED(MOD(_xlpm.extra_time,60),0),_xlfn.CONCAT(QUOTIENT(_xlpm.extra_time,60),":",IF(_xlpm.remaining_seconds="0","00",IF(LEN(_xlpm.remaining_seconds)=1,_xlfn.CONCAT("0",_xlpm.remaining_seconds),_xlpm.remaining_seconds)))),"00:00")</f>
        <v>00:00</v>
      </c>
      <c r="E15" s="9">
        <v>12</v>
      </c>
      <c r="F15" s="9" t="str">
        <f t="shared" si="1"/>
        <v/>
      </c>
      <c r="G15" s="9" t="str">
        <f>'Stints List'!H13</f>
        <v/>
      </c>
      <c r="H15" s="4">
        <f>'Stints List'!E13</f>
        <v>0</v>
      </c>
      <c r="I15" s="9" t="b">
        <f>IF($J15,"",IF(AND('Start Page'!$B$2&lt;$H15,$H15&lt;'Start Page'!$B$3),TRUE,FALSE))</f>
        <v>0</v>
      </c>
      <c r="J15" s="9" t="b">
        <f t="shared" si="0"/>
        <v>0</v>
      </c>
    </row>
    <row r="16" spans="1:10" x14ac:dyDescent="0.25">
      <c r="A16" s="24" t="s">
        <v>40</v>
      </c>
      <c r="B16" s="7">
        <f>IFERROR((B3 - (B6 * IFERROR(B17/B19, 2))) / B6, 0)</f>
        <v>28</v>
      </c>
      <c r="E16" s="9" t="str">
        <f>IF(
  ROW() - ROW($E$4) + 1 &lt;= $B$6, ROW() - ROW($E$4) + 1, "")</f>
        <v/>
      </c>
      <c r="F16" s="9" t="str">
        <f t="shared" si="1"/>
        <v/>
      </c>
      <c r="G16" s="9" t="str">
        <f>'Stints List'!H14</f>
        <v/>
      </c>
      <c r="H16" s="4">
        <f>'Stints List'!E14</f>
        <v>0</v>
      </c>
      <c r="I16" s="9" t="b">
        <f>IF($J16,"",IF(AND('Start Page'!$B$2&lt;$H16,$H16&lt;'Start Page'!$B$3),TRUE,FALSE))</f>
        <v>0</v>
      </c>
      <c r="J16" s="9" t="b">
        <f t="shared" si="0"/>
        <v>0</v>
      </c>
    </row>
    <row r="17" spans="1:10" x14ac:dyDescent="0.25">
      <c r="A17" s="24" t="s">
        <v>42</v>
      </c>
      <c r="B17" s="10">
        <f>'Stints List'!U4</f>
        <v>0</v>
      </c>
      <c r="E17" s="9">
        <v>14</v>
      </c>
      <c r="F17" s="9" t="str">
        <f t="shared" si="1"/>
        <v/>
      </c>
      <c r="G17" s="9" t="str">
        <f>'Stints List'!H15</f>
        <v/>
      </c>
      <c r="H17" s="4">
        <f>'Stints List'!E15</f>
        <v>0</v>
      </c>
      <c r="I17" s="9" t="b">
        <f>IF($J17,"",IF(AND('Start Page'!$B$2&lt;$H17,$H17&lt;'Start Page'!$B$3),TRUE,FALSE))</f>
        <v>0</v>
      </c>
      <c r="J17" s="9" t="b">
        <f t="shared" si="0"/>
        <v>0</v>
      </c>
    </row>
    <row r="18" spans="1:10" x14ac:dyDescent="0.25">
      <c r="A18" s="24" t="s">
        <v>43</v>
      </c>
      <c r="B18" s="7">
        <f>'Stints List'!T4</f>
        <v>0</v>
      </c>
      <c r="E18" s="9">
        <v>15</v>
      </c>
      <c r="F18" s="9" t="str">
        <f t="shared" si="1"/>
        <v/>
      </c>
      <c r="G18" s="9" t="str">
        <f>'Stints List'!H16</f>
        <v/>
      </c>
      <c r="H18" s="4">
        <f>'Stints List'!E16</f>
        <v>0</v>
      </c>
      <c r="I18" s="9" t="b">
        <f>IF($J18,"",IF(AND('Start Page'!$B$2&lt;$H18,$H18&lt;'Start Page'!$B$3),TRUE,FALSE))</f>
        <v>0</v>
      </c>
      <c r="J18" s="9" t="b">
        <f t="shared" si="0"/>
        <v>0</v>
      </c>
    </row>
    <row r="19" spans="1:10" x14ac:dyDescent="0.25">
      <c r="A19" s="24" t="s">
        <v>44</v>
      </c>
      <c r="B19" s="7">
        <f>SUM('Start Page'!B4)-B5</f>
        <v>0</v>
      </c>
      <c r="E19" s="9">
        <v>16</v>
      </c>
      <c r="F19" s="9" t="str">
        <f t="shared" si="1"/>
        <v/>
      </c>
      <c r="G19" s="9" t="str">
        <f>'Stints List'!H17</f>
        <v/>
      </c>
      <c r="H19" s="4">
        <f>'Stints List'!E17</f>
        <v>0</v>
      </c>
      <c r="I19" s="9" t="b">
        <f>IF($J19,"",IF(AND('Start Page'!$B$2&lt;$H19,$H19&lt;'Start Page'!$B$3),TRUE,FALSE))</f>
        <v>0</v>
      </c>
      <c r="J19" s="9" t="b">
        <f t="shared" si="0"/>
        <v>0</v>
      </c>
    </row>
    <row r="20" spans="1:10" x14ac:dyDescent="0.25">
      <c r="A20" s="24"/>
      <c r="E20" s="9">
        <v>17</v>
      </c>
      <c r="F20" s="9" t="str">
        <f t="shared" si="1"/>
        <v/>
      </c>
      <c r="G20" s="9" t="str">
        <f>'Stints List'!H18</f>
        <v/>
      </c>
      <c r="H20" s="4">
        <f>'Stints List'!E18</f>
        <v>0</v>
      </c>
      <c r="I20" s="9" t="b">
        <f>IF($J20,"",IF(AND('Start Page'!$B$2&lt;$H20,$H20&lt;'Start Page'!$B$3),TRUE,FALSE))</f>
        <v>0</v>
      </c>
      <c r="J20" s="9" t="b">
        <f t="shared" si="0"/>
        <v>0</v>
      </c>
    </row>
    <row r="21" spans="1:10" x14ac:dyDescent="0.25">
      <c r="E21" s="9">
        <v>18</v>
      </c>
      <c r="F21" s="9" t="str">
        <f t="shared" si="1"/>
        <v/>
      </c>
      <c r="G21" s="9" t="str">
        <f>'Stints List'!H19</f>
        <v/>
      </c>
      <c r="H21" s="4">
        <f>'Stints List'!E19</f>
        <v>0</v>
      </c>
      <c r="I21" s="9" t="b">
        <f>IF($J21,"",IF(AND('Start Page'!$B$2&lt;$H21,$H21&lt;'Start Page'!$B$3),TRUE,FALSE))</f>
        <v>0</v>
      </c>
      <c r="J21" s="9" t="b">
        <f t="shared" si="0"/>
        <v>0</v>
      </c>
    </row>
    <row r="22" spans="1:10" x14ac:dyDescent="0.25">
      <c r="E22" s="9">
        <v>19</v>
      </c>
      <c r="F22" s="9" t="str">
        <f t="shared" si="1"/>
        <v/>
      </c>
      <c r="G22" s="9" t="str">
        <f>'Stints List'!H20</f>
        <v/>
      </c>
      <c r="H22" s="4">
        <f>'Stints List'!E20</f>
        <v>0</v>
      </c>
      <c r="I22" s="9" t="b">
        <f>IF($J22,"",IF(AND('Start Page'!$B$2&lt;$H22,$H22&lt;'Start Page'!$B$3),TRUE,FALSE))</f>
        <v>0</v>
      </c>
      <c r="J22" s="9" t="b">
        <f t="shared" si="0"/>
        <v>0</v>
      </c>
    </row>
    <row r="23" spans="1:10" x14ac:dyDescent="0.25">
      <c r="E23" s="9">
        <v>20</v>
      </c>
      <c r="F23" s="9" t="str">
        <f t="shared" si="1"/>
        <v/>
      </c>
      <c r="G23" s="9" t="str">
        <f>'Stints List'!H21</f>
        <v/>
      </c>
      <c r="H23" s="4">
        <f>'Stints List'!E21</f>
        <v>0</v>
      </c>
      <c r="I23" s="9" t="b">
        <f>IF($J23,"",IF(AND('Start Page'!$B$2&lt;$H23,$H23&lt;'Start Page'!$B$3),TRUE,FALSE))</f>
        <v>0</v>
      </c>
      <c r="J23" s="9" t="b">
        <f t="shared" si="0"/>
        <v>0</v>
      </c>
    </row>
    <row r="24" spans="1:10" x14ac:dyDescent="0.25">
      <c r="E24" s="9">
        <v>21</v>
      </c>
      <c r="F24" s="9" t="str">
        <f t="shared" ref="F24:F41" si="2">IF($J24,"",$G23)</f>
        <v/>
      </c>
      <c r="G24" s="9" t="str">
        <f>'Stints List'!H22</f>
        <v/>
      </c>
      <c r="H24" s="4">
        <f>'Stints List'!E22</f>
        <v>0</v>
      </c>
      <c r="I24" s="9" t="b">
        <f>IF($J24,"",IF(AND('Start Page'!$B$2&lt;$H24,$H24&lt;'Start Page'!$B$3),TRUE,FALSE))</f>
        <v>0</v>
      </c>
      <c r="J24" s="9" t="b">
        <f t="shared" si="0"/>
        <v>0</v>
      </c>
    </row>
    <row r="25" spans="1:10" x14ac:dyDescent="0.25">
      <c r="E25" s="9">
        <v>22</v>
      </c>
      <c r="F25" s="9" t="str">
        <f t="shared" si="2"/>
        <v/>
      </c>
      <c r="G25" s="9" t="e">
        <f>IF($J25,"",$F25-('Start Page'!$B$3-'Calculations v2'!$H25))</f>
        <v>#VALUE!</v>
      </c>
      <c r="H25" s="4">
        <f>'Stints List'!E23</f>
        <v>0</v>
      </c>
      <c r="I25" s="9" t="b">
        <f>IF($J25,"",IF(AND('Start Page'!$B$2&lt;$H25,$H25&lt;'Start Page'!$B$3),TRUE,FALSE))</f>
        <v>0</v>
      </c>
      <c r="J25" s="9" t="b">
        <f t="shared" si="0"/>
        <v>0</v>
      </c>
    </row>
    <row r="26" spans="1:10" x14ac:dyDescent="0.25">
      <c r="E26" s="9">
        <v>23</v>
      </c>
      <c r="F26" s="9" t="e">
        <f t="shared" si="2"/>
        <v>#VALUE!</v>
      </c>
      <c r="G26" s="9" t="e">
        <f>IF($J26,"",$F26-('Start Page'!$B$3-'Calculations v2'!$H26))</f>
        <v>#VALUE!</v>
      </c>
      <c r="H26" s="4">
        <f>'Stints List'!E24</f>
        <v>0</v>
      </c>
      <c r="I26" s="9" t="b">
        <f>IF($J26,"",IF(AND('Start Page'!$B$2&lt;$H26,$H26&lt;'Start Page'!$B$3),TRUE,FALSE))</f>
        <v>0</v>
      </c>
      <c r="J26" s="9" t="b">
        <f t="shared" si="0"/>
        <v>0</v>
      </c>
    </row>
    <row r="27" spans="1:10" x14ac:dyDescent="0.25">
      <c r="E27" s="9">
        <v>24</v>
      </c>
      <c r="F27" s="9" t="e">
        <f t="shared" si="2"/>
        <v>#VALUE!</v>
      </c>
      <c r="G27" s="9" t="e">
        <f>IF($J27,"",$F27-('Start Page'!$B$3-'Calculations v2'!$H27))</f>
        <v>#VALUE!</v>
      </c>
      <c r="H27" s="4">
        <f>'Stints List'!E25</f>
        <v>0</v>
      </c>
      <c r="I27" s="9" t="b">
        <f>IF($J27,"",IF(AND('Start Page'!$B$2&lt;$H27,$H27&lt;'Start Page'!$B$3),TRUE,FALSE))</f>
        <v>0</v>
      </c>
      <c r="J27" s="9" t="b">
        <f t="shared" si="0"/>
        <v>0</v>
      </c>
    </row>
    <row r="28" spans="1:10" x14ac:dyDescent="0.25">
      <c r="E28" s="9">
        <v>25</v>
      </c>
      <c r="F28" s="9" t="e">
        <f t="shared" si="2"/>
        <v>#VALUE!</v>
      </c>
      <c r="G28" s="9" t="e">
        <f>IF($J28,"",$F28-('Start Page'!$B$3-'Calculations v2'!$H28))</f>
        <v>#VALUE!</v>
      </c>
      <c r="H28" s="4">
        <f>'Stints List'!E26</f>
        <v>0</v>
      </c>
      <c r="I28" s="9" t="b">
        <f>IF($J28,"",IF(AND('Start Page'!$B$2&lt;$H28,$H28&lt;'Start Page'!$B$3),TRUE,FALSE))</f>
        <v>0</v>
      </c>
      <c r="J28" s="9" t="b">
        <f t="shared" si="0"/>
        <v>0</v>
      </c>
    </row>
    <row r="29" spans="1:10" x14ac:dyDescent="0.25">
      <c r="E29" s="9">
        <v>26</v>
      </c>
      <c r="F29" s="9" t="e">
        <f t="shared" si="2"/>
        <v>#VALUE!</v>
      </c>
      <c r="G29" s="9" t="e">
        <f>IF($J29,"",$F29-('Start Page'!$B$3-'Calculations v2'!$H29))</f>
        <v>#VALUE!</v>
      </c>
      <c r="H29" s="4">
        <f>'Stints List'!E27</f>
        <v>0</v>
      </c>
      <c r="I29" s="9" t="b">
        <f>IF($J29,"",IF(AND('Start Page'!$B$2&lt;$H29,$H29&lt;'Start Page'!$B$3),TRUE,FALSE))</f>
        <v>0</v>
      </c>
      <c r="J29" s="9" t="b">
        <f t="shared" si="0"/>
        <v>0</v>
      </c>
    </row>
    <row r="30" spans="1:10" x14ac:dyDescent="0.25">
      <c r="E30" s="9">
        <v>27</v>
      </c>
      <c r="F30" s="9" t="e">
        <f t="shared" si="2"/>
        <v>#VALUE!</v>
      </c>
      <c r="G30" s="9" t="e">
        <f>IF($J30,"",$F30-('Start Page'!$B$3-'Calculations v2'!$H30))</f>
        <v>#VALUE!</v>
      </c>
      <c r="H30" s="9" t="str">
        <f>IF(
  $J30&lt;&gt;"",
  "",
  IF(
    $F30=0,
    'Start Page'!$B$3,
    IF(
      $F30 - ( 'Start Page'!$B$3 - 'Start Page'!$B$2 ) &gt; 0,
      'Start Page'!$B$2,
      'Start Page'!$B$3 - 'Calculations v2'!$F$4
    )
  )
)</f>
        <v/>
      </c>
      <c r="I30" s="9" t="b">
        <f>IF($J30,"",IF(AND('Start Page'!$B$2&lt;$H30,$H30&lt;'Start Page'!$B$3),TRUE,FALSE))</f>
        <v>0</v>
      </c>
      <c r="J30" s="9" t="b">
        <f t="shared" si="0"/>
        <v>0</v>
      </c>
    </row>
    <row r="31" spans="1:10" x14ac:dyDescent="0.25">
      <c r="E31" s="9">
        <v>28</v>
      </c>
      <c r="F31" s="9" t="e">
        <f t="shared" si="2"/>
        <v>#VALUE!</v>
      </c>
      <c r="G31" s="9" t="e">
        <f>IF($J31,"",$F31-('Start Page'!$B$3-'Calculations v2'!$H31))</f>
        <v>#VALUE!</v>
      </c>
      <c r="H31" s="9" t="str">
        <f>IF(
  $J31&lt;&gt;"",
  "",
  IF(
    $F31=0,
    'Start Page'!$B$3,
    IF(
      $F31 - ( 'Start Page'!$B$3 - 'Start Page'!$B$2 ) &gt; 0,
      'Start Page'!$B$2,
      'Start Page'!$B$3 - 'Calculations v2'!$F$4
    )
  )
)</f>
        <v/>
      </c>
      <c r="I31" s="9" t="b">
        <f>IF($J31,"",IF(AND('Start Page'!$B$2&lt;$H31,$H31&lt;'Start Page'!$B$3),TRUE,FALSE))</f>
        <v>0</v>
      </c>
      <c r="J31" s="9" t="b">
        <f t="shared" si="0"/>
        <v>0</v>
      </c>
    </row>
    <row r="32" spans="1:10" x14ac:dyDescent="0.25">
      <c r="E32" s="9">
        <v>29</v>
      </c>
      <c r="F32" s="9" t="e">
        <f t="shared" si="2"/>
        <v>#VALUE!</v>
      </c>
      <c r="G32" s="9" t="e">
        <f>IF($J32,"",$F32-('Start Page'!$B$3-'Calculations v2'!$H32))</f>
        <v>#VALUE!</v>
      </c>
      <c r="H32" s="9" t="str">
        <f>IF(
  $J32&lt;&gt;"",
  "",
  IF(
    $F32=0,
    'Start Page'!$B$3,
    IF(
      $F32 - ( 'Start Page'!$B$3 - 'Start Page'!$B$2 ) &gt; 0,
      'Start Page'!$B$2,
      'Start Page'!$B$3 - 'Calculations v2'!$F$4
    )
  )
)</f>
        <v/>
      </c>
      <c r="I32" s="9" t="b">
        <f>IF($J32,"",IF(AND('Start Page'!$B$2&lt;$H32,$H32&lt;'Start Page'!$B$3),TRUE,FALSE))</f>
        <v>0</v>
      </c>
      <c r="J32" s="9" t="b">
        <f t="shared" si="0"/>
        <v>0</v>
      </c>
    </row>
    <row r="33" spans="1:10" x14ac:dyDescent="0.25">
      <c r="E33" s="9">
        <v>30</v>
      </c>
      <c r="F33" s="9" t="e">
        <f t="shared" si="2"/>
        <v>#VALUE!</v>
      </c>
      <c r="G33" s="9" t="e">
        <f>IF($J33,"",$F33-('Start Page'!$B$3-'Calculations v2'!$H33))</f>
        <v>#VALUE!</v>
      </c>
      <c r="H33" s="9" t="str">
        <f>IF(
  $J33&lt;&gt;"",
  "",
  IF(
    $F33=0,
    'Start Page'!$B$3,
    IF(
      $F33 - ( 'Start Page'!$B$3 - 'Start Page'!$B$2 ) &gt; 0,
      'Start Page'!$B$2,
      'Start Page'!$B$3 - 'Calculations v2'!$F$4
    )
  )
)</f>
        <v/>
      </c>
      <c r="I33" s="9" t="b">
        <f>IF($J33,"",IF(AND('Start Page'!$B$2&lt;$H33,$H33&lt;'Start Page'!$B$3),TRUE,FALSE))</f>
        <v>0</v>
      </c>
      <c r="J33" s="9" t="b">
        <f t="shared" si="0"/>
        <v>0</v>
      </c>
    </row>
    <row r="34" spans="1:10" x14ac:dyDescent="0.25">
      <c r="E34" s="9">
        <v>31</v>
      </c>
      <c r="F34" s="9" t="e">
        <f t="shared" si="2"/>
        <v>#VALUE!</v>
      </c>
      <c r="G34" s="9" t="e">
        <f>IF($J34,"",$F34-('Start Page'!$B$3-'Calculations v2'!$H34))</f>
        <v>#VALUE!</v>
      </c>
      <c r="H34" s="9" t="str">
        <f>IF(
  $J34&lt;&gt;"",
  "",
  IF(
    $F34=0,
    'Start Page'!$B$3,
    IF(
      $F34 - ( 'Start Page'!$B$3 - 'Start Page'!$B$2 ) &gt; 0,
      'Start Page'!$B$2,
      'Start Page'!$B$3 - 'Calculations v2'!$F$4
    )
  )
)</f>
        <v/>
      </c>
      <c r="I34" s="9" t="b">
        <f>IF($J34,"",IF(AND('Start Page'!$B$2&lt;$H34,$H34&lt;'Start Page'!$B$3),TRUE,FALSE))</f>
        <v>0</v>
      </c>
      <c r="J34" s="9" t="b">
        <f t="shared" si="0"/>
        <v>0</v>
      </c>
    </row>
    <row r="35" spans="1:10" x14ac:dyDescent="0.25">
      <c r="E35" s="9">
        <v>32</v>
      </c>
      <c r="F35" s="9" t="e">
        <f t="shared" si="2"/>
        <v>#VALUE!</v>
      </c>
      <c r="G35" s="9" t="e">
        <f>IF($J35,"",$F35-('Start Page'!$B$3-'Calculations v2'!$H35))</f>
        <v>#VALUE!</v>
      </c>
      <c r="H35" s="9" t="str">
        <f>IF(
  $J35&lt;&gt;"",
  "",
  IF(
    $F35=0,
    'Start Page'!$B$3,
    IF(
      $F35 - ( 'Start Page'!$B$3 - 'Start Page'!$B$2 ) &gt; 0,
      'Start Page'!$B$2,
      'Start Page'!$B$3 - 'Calculations v2'!$F$4
    )
  )
)</f>
        <v/>
      </c>
      <c r="I35" s="9" t="b">
        <f>IF($J35,"",IF(AND('Start Page'!$B$2&lt;$H35,$H35&lt;'Start Page'!$B$3),TRUE,FALSE))</f>
        <v>0</v>
      </c>
      <c r="J35" s="9" t="b">
        <f t="shared" si="0"/>
        <v>0</v>
      </c>
    </row>
    <row r="36" spans="1:10" x14ac:dyDescent="0.25">
      <c r="E36" s="9">
        <v>33</v>
      </c>
      <c r="F36" s="9" t="e">
        <f t="shared" si="2"/>
        <v>#VALUE!</v>
      </c>
      <c r="G36" s="9" t="e">
        <f>IF($J36,"",$F36-('Start Page'!$B$3-'Calculations v2'!$H36))</f>
        <v>#VALUE!</v>
      </c>
      <c r="H36" s="9" t="str">
        <f>IF(
  $J36&lt;&gt;"",
  "",
  IF(
    $F36=0,
    'Start Page'!$B$3,
    IF(
      $F36 - ( 'Start Page'!$B$3 - 'Start Page'!$B$2 ) &gt; 0,
      'Start Page'!$B$2,
      'Start Page'!$B$3 - 'Calculations v2'!$F$4
    )
  )
)</f>
        <v/>
      </c>
      <c r="I36" s="9" t="b">
        <f>IF($J36,"",IF(AND('Start Page'!$B$2&lt;$H36,$H36&lt;'Start Page'!$B$3),TRUE,FALSE))</f>
        <v>0</v>
      </c>
      <c r="J36" s="9" t="b">
        <f t="shared" si="0"/>
        <v>0</v>
      </c>
    </row>
    <row r="37" spans="1:10" x14ac:dyDescent="0.25">
      <c r="E37" s="9">
        <v>34</v>
      </c>
      <c r="F37" s="9" t="e">
        <f t="shared" si="2"/>
        <v>#VALUE!</v>
      </c>
      <c r="G37" s="9" t="e">
        <f>IF($J37,"",$F37-('Start Page'!$B$3-'Calculations v2'!$H37))</f>
        <v>#VALUE!</v>
      </c>
      <c r="H37" s="9" t="str">
        <f>IF(
  $J37&lt;&gt;"",
  "",
  IF(
    $F37=0,
    'Start Page'!$B$3,
    IF(
      $F37 - ( 'Start Page'!$B$3 - 'Start Page'!$B$2 ) &gt; 0,
      'Start Page'!$B$2,
      'Start Page'!$B$3 - 'Calculations v2'!$F$4
    )
  )
)</f>
        <v/>
      </c>
      <c r="I37" s="9" t="b">
        <f>IF($J37,"",IF(AND('Start Page'!$B$2&lt;$H37,$H37&lt;'Start Page'!$B$3),TRUE,FALSE))</f>
        <v>0</v>
      </c>
      <c r="J37" s="9" t="b">
        <f t="shared" si="0"/>
        <v>0</v>
      </c>
    </row>
    <row r="38" spans="1:10" x14ac:dyDescent="0.25">
      <c r="E38" s="9">
        <v>35</v>
      </c>
      <c r="F38" s="9" t="e">
        <f t="shared" si="2"/>
        <v>#VALUE!</v>
      </c>
      <c r="G38" s="9" t="e">
        <f>IF($J38,"",$F38-('Start Page'!$B$3-'Calculations v2'!$H38))</f>
        <v>#VALUE!</v>
      </c>
      <c r="H38" s="9" t="str">
        <f>IF(
  $J38&lt;&gt;"",
  "",
  IF(
    $F38=0,
    'Start Page'!$B$3,
    IF(
      $F38 - ( 'Start Page'!$B$3 - 'Start Page'!$B$2 ) &gt; 0,
      'Start Page'!$B$2,
      'Start Page'!$B$3 - 'Calculations v2'!$F$4
    )
  )
)</f>
        <v/>
      </c>
      <c r="I38" s="9" t="b">
        <f>IF($J38,"",IF(AND('Start Page'!$B$2&lt;$H38,$H38&lt;'Start Page'!$B$3),TRUE,FALSE))</f>
        <v>0</v>
      </c>
      <c r="J38" s="9" t="b">
        <f t="shared" si="0"/>
        <v>0</v>
      </c>
    </row>
    <row r="39" spans="1:10" x14ac:dyDescent="0.25">
      <c r="E39" s="9">
        <v>36</v>
      </c>
      <c r="F39" s="9" t="e">
        <f t="shared" si="2"/>
        <v>#VALUE!</v>
      </c>
      <c r="G39" s="9" t="e">
        <f>IF($J39,"",$F39-('Start Page'!$B$3-'Calculations v2'!$H39))</f>
        <v>#VALUE!</v>
      </c>
      <c r="H39" s="9" t="str">
        <f>IF(
  $J39&lt;&gt;"",
  "",
  IF(
    $F39=0,
    'Start Page'!$B$3,
    IF(
      $F39 - ( 'Start Page'!$B$3 - 'Start Page'!$B$2 ) &gt; 0,
      'Start Page'!$B$2,
      'Start Page'!$B$3 - 'Calculations v2'!$F$4
    )
  )
)</f>
        <v/>
      </c>
      <c r="I39" s="9" t="b">
        <f>IF($J39,"",IF(AND('Start Page'!$B$2&lt;$H39,$H39&lt;'Start Page'!$B$3),TRUE,FALSE))</f>
        <v>0</v>
      </c>
      <c r="J39" s="9" t="b">
        <f t="shared" si="0"/>
        <v>0</v>
      </c>
    </row>
    <row r="40" spans="1:10" x14ac:dyDescent="0.25">
      <c r="E40" s="9">
        <v>37</v>
      </c>
      <c r="F40" s="9" t="e">
        <f t="shared" si="2"/>
        <v>#VALUE!</v>
      </c>
      <c r="G40" s="9" t="e">
        <f>IF($J40,"",$F40-('Start Page'!$B$3-'Calculations v2'!$H40))</f>
        <v>#VALUE!</v>
      </c>
      <c r="H40" s="9" t="str">
        <f>IF(
  $J40&lt;&gt;"",
  "",
  IF(
    $F40=0,
    'Start Page'!$B$3,
    IF(
      $F40 - ( 'Start Page'!$B$3 - 'Start Page'!$B$2 ) &gt; 0,
      'Start Page'!$B$2,
      'Start Page'!$B$3 - 'Calculations v2'!$F$4
    )
  )
)</f>
        <v/>
      </c>
      <c r="I40" s="9" t="b">
        <f>IF($J40,"",IF(AND('Start Page'!$B$2&lt;$H40,$H40&lt;'Start Page'!$B$3),TRUE,FALSE))</f>
        <v>0</v>
      </c>
      <c r="J40" s="9" t="b">
        <f t="shared" si="0"/>
        <v>0</v>
      </c>
    </row>
    <row r="41" spans="1:10" x14ac:dyDescent="0.25">
      <c r="E41" s="9">
        <v>38</v>
      </c>
      <c r="F41" s="9" t="e">
        <f t="shared" si="2"/>
        <v>#VALUE!</v>
      </c>
      <c r="G41" s="9" t="e">
        <f>IF($J41,"",$F41-('Start Page'!$B$3-'Calculations v2'!$H41))</f>
        <v>#VALUE!</v>
      </c>
      <c r="H41" s="9" t="str">
        <f>IF(
  $J41&lt;&gt;"",
  "",
  IF(
    $F41=0,
    'Start Page'!$B$3,
    IF(
      $F41 - ( 'Start Page'!$B$3 - 'Start Page'!$B$2 ) &gt; 0,
      'Start Page'!$B$2,
      'Start Page'!$B$3 - 'Calculations v2'!$F$4
    )
  )
)</f>
        <v/>
      </c>
      <c r="I41" s="9" t="b">
        <f>IF($J41,"",IF(AND('Start Page'!$B$2&lt;$H41,$H41&lt;'Start Page'!$B$3),TRUE,FALSE))</f>
        <v>0</v>
      </c>
      <c r="J41" s="9" t="b">
        <f t="shared" si="0"/>
        <v>0</v>
      </c>
    </row>
    <row r="42" spans="1:10" x14ac:dyDescent="0.25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x14ac:dyDescent="0.25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x14ac:dyDescent="0.25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x14ac:dyDescent="0.25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x14ac:dyDescent="0.25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x14ac:dyDescent="0.25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x14ac:dyDescent="0.25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x14ac:dyDescent="0.25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x14ac:dyDescent="0.25">
      <c r="A50" s="34"/>
      <c r="B50" s="34"/>
      <c r="C50" s="34"/>
      <c r="D50" s="34"/>
      <c r="E50" s="34"/>
      <c r="F50" s="34"/>
      <c r="G50" s="34"/>
      <c r="H50" s="34"/>
      <c r="I50" s="34"/>
      <c r="J50" s="34"/>
    </row>
    <row r="51" spans="1:10" x14ac:dyDescent="0.25">
      <c r="A51" s="34"/>
      <c r="B51" s="34"/>
      <c r="C51" s="34"/>
      <c r="D51" s="34"/>
      <c r="E51" s="34"/>
      <c r="F51" s="34"/>
      <c r="G51" s="34"/>
      <c r="H51" s="34"/>
      <c r="I51" s="34"/>
      <c r="J51" s="34"/>
    </row>
    <row r="52" spans="1:10" x14ac:dyDescent="0.25">
      <c r="A52" s="34"/>
      <c r="B52" s="34"/>
      <c r="C52" s="34"/>
      <c r="D52" s="34"/>
      <c r="E52" s="34"/>
      <c r="F52" s="34"/>
      <c r="G52" s="34"/>
      <c r="H52" s="34"/>
      <c r="I52" s="34"/>
      <c r="J52" s="34"/>
    </row>
    <row r="53" spans="1:10" x14ac:dyDescent="0.25">
      <c r="A53" s="34"/>
      <c r="B53" s="34"/>
      <c r="C53" s="34"/>
      <c r="D53" s="34"/>
      <c r="E53" s="34"/>
      <c r="F53" s="34"/>
      <c r="G53" s="34"/>
      <c r="H53" s="34"/>
      <c r="I53" s="34"/>
      <c r="J53" s="34"/>
    </row>
    <row r="54" spans="1:10" x14ac:dyDescent="0.25">
      <c r="A54" s="34"/>
      <c r="B54" s="34"/>
      <c r="C54" s="34"/>
      <c r="D54" s="34"/>
      <c r="E54" s="34"/>
      <c r="F54" s="34"/>
      <c r="G54" s="34"/>
      <c r="H54" s="34"/>
      <c r="I54" s="34"/>
      <c r="J54" s="34"/>
    </row>
    <row r="55" spans="1:10" x14ac:dyDescent="0.25">
      <c r="A55" s="34"/>
      <c r="B55" s="34"/>
      <c r="C55" s="34"/>
      <c r="D55" s="34"/>
      <c r="E55" s="34"/>
      <c r="F55" s="34"/>
      <c r="G55" s="34"/>
      <c r="H55" s="34"/>
      <c r="I55" s="34"/>
      <c r="J55" s="34"/>
    </row>
    <row r="56" spans="1:10" x14ac:dyDescent="0.25">
      <c r="A56" s="34"/>
      <c r="B56" s="34"/>
      <c r="C56" s="34"/>
      <c r="D56" s="34"/>
      <c r="E56" s="34"/>
      <c r="F56" s="34"/>
      <c r="G56" s="34"/>
      <c r="H56" s="34"/>
      <c r="I56" s="34"/>
      <c r="J56" s="34"/>
    </row>
    <row r="57" spans="1:10" x14ac:dyDescent="0.25">
      <c r="A57" s="34"/>
      <c r="B57" s="34"/>
      <c r="C57" s="34"/>
      <c r="D57" s="34"/>
      <c r="E57" s="34"/>
      <c r="F57" s="34"/>
      <c r="G57" s="34"/>
      <c r="H57" s="34"/>
      <c r="I57" s="34"/>
      <c r="J57" s="34"/>
    </row>
    <row r="58" spans="1:10" x14ac:dyDescent="0.25">
      <c r="A58" s="34"/>
      <c r="B58" s="34"/>
      <c r="C58" s="34"/>
      <c r="D58" s="34"/>
      <c r="E58" s="34"/>
      <c r="F58" s="34"/>
      <c r="G58" s="34"/>
      <c r="H58" s="34"/>
      <c r="I58" s="34"/>
      <c r="J58" s="34"/>
    </row>
    <row r="59" spans="1:10" x14ac:dyDescent="0.25">
      <c r="A59" s="34"/>
      <c r="B59" s="34"/>
      <c r="C59" s="34"/>
      <c r="D59" s="34"/>
      <c r="E59" s="34"/>
      <c r="F59" s="34"/>
      <c r="G59" s="34"/>
      <c r="H59" s="34"/>
      <c r="I59" s="34"/>
      <c r="J59" s="34"/>
    </row>
    <row r="60" spans="1:10" x14ac:dyDescent="0.25">
      <c r="A60" s="34"/>
      <c r="B60" s="34"/>
      <c r="C60" s="34"/>
      <c r="D60" s="34"/>
      <c r="E60" s="34"/>
      <c r="F60" s="34"/>
      <c r="G60" s="34"/>
      <c r="H60" s="34"/>
      <c r="I60" s="34"/>
      <c r="J60" s="34"/>
    </row>
    <row r="61" spans="1:10" x14ac:dyDescent="0.25">
      <c r="A61" s="34"/>
      <c r="B61" s="34"/>
      <c r="C61" s="34"/>
      <c r="D61" s="34"/>
      <c r="E61" s="34"/>
      <c r="F61" s="34"/>
      <c r="G61" s="34"/>
      <c r="H61" s="34"/>
      <c r="I61" s="34"/>
      <c r="J61" s="34"/>
    </row>
    <row r="62" spans="1:10" x14ac:dyDescent="0.25">
      <c r="A62" s="34"/>
      <c r="B62" s="34"/>
      <c r="C62" s="34"/>
      <c r="D62" s="34"/>
      <c r="E62" s="34"/>
      <c r="F62" s="34"/>
      <c r="G62" s="34"/>
      <c r="H62" s="34"/>
      <c r="I62" s="34"/>
      <c r="J62" s="34"/>
    </row>
    <row r="63" spans="1:10" x14ac:dyDescent="0.25">
      <c r="A63" s="34"/>
      <c r="B63" s="34"/>
      <c r="C63" s="34"/>
      <c r="D63" s="34"/>
      <c r="E63" s="34"/>
      <c r="F63" s="34"/>
      <c r="G63" s="34"/>
      <c r="H63" s="34"/>
      <c r="I63" s="34"/>
      <c r="J63" s="3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E796C-3C52-4137-9609-189F5CE1ACA3}">
  <sheetPr codeName="Feuil3">
    <tabColor rgb="FFC00000"/>
    <pageSetUpPr fitToPage="1"/>
  </sheetPr>
  <dimension ref="A1:W48"/>
  <sheetViews>
    <sheetView zoomScale="80" zoomScaleNormal="80" workbookViewId="0">
      <pane ySplit="7" topLeftCell="A8" activePane="bottomLeft" state="frozen"/>
      <selection pane="bottomLeft" activeCell="B8" sqref="B8"/>
    </sheetView>
  </sheetViews>
  <sheetFormatPr baseColWidth="10" defaultColWidth="10.85546875" defaultRowHeight="19.149999999999999" customHeight="1" x14ac:dyDescent="0.25"/>
  <cols>
    <col min="1" max="1" width="12.5703125" style="56" customWidth="1"/>
    <col min="2" max="2" width="13" style="56" bestFit="1" customWidth="1"/>
    <col min="3" max="3" width="12.42578125" style="55" bestFit="1" customWidth="1"/>
    <col min="4" max="4" width="7.7109375" style="112" bestFit="1" customWidth="1"/>
    <col min="5" max="7" width="12.7109375" style="55" customWidth="1"/>
    <col min="8" max="8" width="12.7109375" style="56" customWidth="1"/>
    <col min="9" max="9" width="13" style="56" customWidth="1"/>
    <col min="10" max="10" width="16.7109375" style="106" customWidth="1"/>
    <col min="11" max="11" width="19.42578125" style="106" customWidth="1"/>
    <col min="12" max="12" width="13" style="108" customWidth="1"/>
    <col min="13" max="13" width="10.85546875" style="108" customWidth="1"/>
    <col min="14" max="14" width="11.140625" style="108" customWidth="1"/>
    <col min="15" max="15" width="33.5703125" style="109" customWidth="1"/>
    <col min="16" max="16" width="23.7109375" style="109" bestFit="1" customWidth="1"/>
    <col min="17" max="17" width="19.5703125" style="56" customWidth="1"/>
    <col min="18" max="18" width="10.7109375" style="55" customWidth="1"/>
    <col min="19" max="19" width="10.7109375" style="56" customWidth="1"/>
    <col min="20" max="20" width="19.140625" style="56" customWidth="1"/>
    <col min="21" max="21" width="11.28515625" style="56" customWidth="1"/>
    <col min="22" max="22" width="17.28515625" style="56" bestFit="1" customWidth="1"/>
    <col min="23" max="23" width="12.7109375" style="56" bestFit="1" customWidth="1"/>
    <col min="24" max="16384" width="10.85546875" style="56"/>
  </cols>
  <sheetData>
    <row r="1" spans="1:23" ht="19.149999999999999" customHeight="1" thickBot="1" x14ac:dyDescent="0.3">
      <c r="A1" s="46" t="s">
        <v>98</v>
      </c>
      <c r="B1" s="46" t="s">
        <v>99</v>
      </c>
      <c r="C1" s="47" t="s">
        <v>100</v>
      </c>
      <c r="D1" s="48" t="s">
        <v>101</v>
      </c>
      <c r="E1" s="113" t="str">
        <f>'Start Page'!$B$16</f>
        <v>Lucas</v>
      </c>
      <c r="F1" s="114" t="str">
        <f>'Start Page'!$B$17</f>
        <v>Remi</v>
      </c>
      <c r="G1" s="115" t="str">
        <f>'Start Page'!$B$18</f>
        <v>Fabio</v>
      </c>
      <c r="H1" s="116">
        <f>'Start Page'!$B$19</f>
        <v>0</v>
      </c>
      <c r="I1" s="49">
        <f>'Start Page'!$B$20</f>
        <v>0</v>
      </c>
      <c r="J1" s="50" t="s">
        <v>102</v>
      </c>
      <c r="K1" s="51" t="s">
        <v>103</v>
      </c>
      <c r="L1" s="52" t="s">
        <v>104</v>
      </c>
      <c r="M1" s="53" t="s">
        <v>105</v>
      </c>
      <c r="N1" s="53" t="s">
        <v>106</v>
      </c>
      <c r="O1" s="54" t="s">
        <v>107</v>
      </c>
      <c r="P1" s="54" t="s">
        <v>108</v>
      </c>
      <c r="Q1" s="54" t="s">
        <v>109</v>
      </c>
    </row>
    <row r="2" spans="1:23" ht="19.149999999999999" customHeight="1" thickBot="1" x14ac:dyDescent="0.3">
      <c r="A2" s="78" t="str">
        <f>QUOTIENT('Start Page'!$B$1*60,60)&amp;":"&amp;
IF(QUOTIENT((('Start Page'!$B$1*60-QUOTIENT('Start Page'!$B$1*60,60)*60)*60),60)=0,"00",QUOTIENT((('Start Page'!$B$1*60-QUOTIENT('Start Page'!$B$1*60,60)*60)*60),60))&amp;
":"&amp;
IF(MOD((('Start Page'!$B$1*60-QUOTIENT('Start Page'!$B$1*60,60)*60)*60),60)=0,"00",TEXT(MOD((('Start Page'!$B$1*60-QUOTIENT('Start Page'!$B$1*60,60)*60)*60),60),"0"))</f>
        <v>4:00:00</v>
      </c>
      <c r="B2" s="78" t="str">
        <f>QUOTIENT('Start Page'!$B$1*60,60)&amp;":"&amp;
IF(QUOTIENT((('Start Page'!$B$1*60-QUOTIENT('Start Page'!$B$1*60,60)*60)*60),60)=0,"00",QUOTIENT((('Start Page'!$B$1*60-QUOTIENT('Start Page'!$B$1*60,60)*60)*60),60))&amp;
":"&amp;
IF(MOD((('Start Page'!$B$1*60-QUOTIENT('Start Page'!$B$1*60,60)*60)*60),60)=0,"00",TEXT(MOD((('Start Page'!$B$1*60-QUOTIENT('Start Page'!$B$1*60,60)*60)*60),60),"0"))</f>
        <v>4:00:00</v>
      </c>
      <c r="C2" s="57">
        <f>'Start Page'!$B$4</f>
        <v>7</v>
      </c>
      <c r="D2" s="57">
        <f>'Calculations v2'!$B5</f>
        <v>7</v>
      </c>
      <c r="E2" s="134" t="str">
        <f>QUOTIENT('Rapport Pilotes'!$C$2,60)&amp;":"&amp;
IF(QUOTIENT((('Rapport Pilotes'!$C$2-QUOTIENT('Rapport Pilotes'!$C$2,60)*60)*60),60)=0,"00",QUOTIENT((('Rapport Pilotes'!$C$2-QUOTIENT('Rapport Pilotes'!$C$2,60)*60)*60),60))&amp;
":"&amp;
IF(MOD((('Rapport Pilotes'!$C$2-QUOTIENT('Rapport Pilotes'!$C$2,60)*60)*60),60)=0,"00",TEXT(MOD((('Rapport Pilotes'!$C$2-QUOTIENT('Rapport Pilotes'!$C$2,60)*60)*60),60),"0"))</f>
        <v>0:00:00</v>
      </c>
      <c r="F2" s="134" t="str">
        <f>QUOTIENT('Rapport Pilotes'!$C$3,60)&amp;":"&amp;
IF(QUOTIENT((('Rapport Pilotes'!$C$3-QUOTIENT('Rapport Pilotes'!$C$3,60)*60)*60),60)=0,"00",QUOTIENT((('Rapport Pilotes'!$C$3-QUOTIENT('Rapport Pilotes'!$C$3,60)*60)*60),60))&amp;
":"&amp;
IF(MOD((('Rapport Pilotes'!$C$3-QUOTIENT('Rapport Pilotes'!$C$3,60)*60)*60),60)=0,"00",TEXT(MOD((('Rapport Pilotes'!$C$3-QUOTIENT('Rapport Pilotes'!$C$3,60)*60)*60),60),"0"))</f>
        <v>0:00:00</v>
      </c>
      <c r="G2" s="134" t="str">
        <f>QUOTIENT('Rapport Pilotes'!$C$4,60)&amp;":"&amp;
IF(QUOTIENT((('Rapport Pilotes'!$C$4-QUOTIENT('Rapport Pilotes'!$C$4,60)*60)*60),60)=0,"00",QUOTIENT((('Rapport Pilotes'!$C$4-QUOTIENT('Rapport Pilotes'!$C$4,60)*60)*60),60))&amp;
":"&amp;
IF(MOD((('Rapport Pilotes'!$C$4-QUOTIENT('Rapport Pilotes'!$C$4,60)*60)*60),60)=0,"00",TEXT(MOD((('Rapport Pilotes'!$C$4-QUOTIENT('Rapport Pilotes'!$C$4,60)*60)*60),60),"0"))</f>
        <v>0:00:00</v>
      </c>
      <c r="H2" s="134" t="str">
        <f>QUOTIENT('Rapport Pilotes'!$C$5,60)&amp;":"&amp;
IF(QUOTIENT((('Rapport Pilotes'!$C$5-QUOTIENT('Rapport Pilotes'!$C$5,60)*60)*60),60)=0,"00",QUOTIENT((('Rapport Pilotes'!$C$5-QUOTIENT('Rapport Pilotes'!$C$5,60)*60)*60),60))&amp;
":"&amp;
IF(MOD((('Rapport Pilotes'!$C$5-QUOTIENT('Rapport Pilotes'!$C$5,60)*60)*60),60)=0,"00",TEXT(MOD((('Rapport Pilotes'!$C$5-QUOTIENT('Rapport Pilotes'!$C$5,60)*60)*60),60),"0"))</f>
        <v>0:00:00</v>
      </c>
      <c r="I2" s="134" t="str">
        <f>QUOTIENT('Rapport Pilotes'!$C$6,60)&amp;":"&amp;
IF(QUOTIENT((('Rapport Pilotes'!$C$6-QUOTIENT('Rapport Pilotes'!$C$6,60)*60)*60),60)=0,"00",QUOTIENT((('Rapport Pilotes'!$C$6-QUOTIENT('Rapport Pilotes'!$C$6,60)*60)*60),60))&amp;
":"&amp;
IF(MOD((('Rapport Pilotes'!$C$6-QUOTIENT('Rapport Pilotes'!$C$6,60)*60)*60),60)=0,"00",TEXT(MOD((('Rapport Pilotes'!$C$6-QUOTIENT('Rapport Pilotes'!$C$6,60)*60)*60),60),"0"))</f>
        <v>0:00:00</v>
      </c>
      <c r="J2" s="133" t="str">
        <f>QUOTIENT('Rapport Pilotes'!$C$7,60)&amp;":"&amp;
IF(QUOTIENT((('Rapport Pilotes'!$C$7-QUOTIENT('Rapport Pilotes'!$C$7,60)*60)*60),60)=0,"00",QUOTIENT((('Rapport Pilotes'!$C$7-QUOTIENT('Rapport Pilotes'!$C$7,60)*60)*60),60))&amp;
":"&amp;
IF(MOD((('Rapport Pilotes'!$C$7-QUOTIENT('Rapport Pilotes'!$C$7,60)*60)*60),60)=0,"00",TEXT(MOD((('Rapport Pilotes'!$C$7-QUOTIENT('Rapport Pilotes'!$C$7,60)*60)*60),60),"0"))</f>
        <v>0:00:00</v>
      </c>
      <c r="K2" s="58">
        <f>'Rapport Pilotes'!$B$2</f>
        <v>0</v>
      </c>
      <c r="L2" s="113" t="str">
        <f>'Start Page'!$B$16</f>
        <v>Lucas</v>
      </c>
      <c r="M2" s="59"/>
      <c r="N2" s="60"/>
      <c r="O2" s="61" t="e">
        <f ca="1">AVERAGEIF($E$8:$E$35,L2,$F$9:$F$35)</f>
        <v>#DIV/0!</v>
      </c>
      <c r="P2" s="62" t="e">
        <f>AVERAGEIF($E$9:$E$35,L2,$G$8:$G$35)</f>
        <v>#DIV/0!</v>
      </c>
      <c r="Q2" s="62" t="e">
        <f>AVERAGEIF($E$8:$E$35,L2,$H$8:$H$35)</f>
        <v>#DIV/0!</v>
      </c>
    </row>
    <row r="3" spans="1:23" ht="22.15" customHeight="1" thickBot="1" x14ac:dyDescent="0.3">
      <c r="A3" s="63" t="s">
        <v>110</v>
      </c>
      <c r="B3" s="64">
        <v>25</v>
      </c>
      <c r="C3" s="168"/>
      <c r="D3" s="169"/>
      <c r="E3" s="129"/>
      <c r="F3" s="130"/>
      <c r="G3" s="130"/>
      <c r="H3" s="130"/>
      <c r="I3" s="131"/>
      <c r="J3" s="132"/>
      <c r="K3" s="58">
        <f>'Rapport Pilotes'!$B$3</f>
        <v>0</v>
      </c>
      <c r="L3" s="114" t="str">
        <f>'Start Page'!$B$17</f>
        <v>Remi</v>
      </c>
      <c r="M3" s="65"/>
      <c r="N3" s="66"/>
      <c r="O3" s="61" t="e">
        <f ca="1">AVERAGEIF($E$8:$E$35,L3,$F$9:$F$35)</f>
        <v>#DIV/0!</v>
      </c>
      <c r="P3" s="62" t="e">
        <f>AVERAGEIF($E$8:$E$35,L3,$G$8:$G$35)</f>
        <v>#DIV/0!</v>
      </c>
      <c r="Q3" s="62" t="e">
        <f>AVERAGEIF($E$8:$E$35,L3,$H$8:$H$35)</f>
        <v>#DIV/0!</v>
      </c>
      <c r="T3" s="67"/>
    </row>
    <row r="4" spans="1:23" ht="19.149999999999999" customHeight="1" thickBot="1" x14ac:dyDescent="0.3">
      <c r="A4" s="68" t="s">
        <v>111</v>
      </c>
      <c r="B4" s="69" t="s">
        <v>112</v>
      </c>
      <c r="C4" s="120"/>
      <c r="D4" s="121"/>
      <c r="E4" s="122"/>
      <c r="F4" s="122"/>
      <c r="G4" s="122"/>
      <c r="H4" s="122"/>
      <c r="I4" s="122"/>
      <c r="J4" s="123"/>
      <c r="K4" s="58">
        <f>'Rapport Pilotes'!$B$4</f>
        <v>0</v>
      </c>
      <c r="L4" s="115" t="str">
        <f>'Start Page'!$B$18</f>
        <v>Fabio</v>
      </c>
      <c r="M4" s="70"/>
      <c r="N4" s="71"/>
      <c r="O4" s="61" t="e">
        <f ca="1">AVERAGEIF($E$8:$E$35,L4,$F$9:$F$35)</f>
        <v>#DIV/0!</v>
      </c>
      <c r="P4" s="62" t="e">
        <f>AVERAGEIF($E$8:$E$35,L4,$G$8:$G$35)</f>
        <v>#DIV/0!</v>
      </c>
      <c r="Q4" s="62" t="e">
        <f>AVERAGEIF($E$8:$E$35,L4,$H$8:$H$35)</f>
        <v>#DIV/0!</v>
      </c>
    </row>
    <row r="5" spans="1:23" ht="19.149999999999999" customHeight="1" thickBot="1" x14ac:dyDescent="0.3">
      <c r="A5" s="117"/>
      <c r="B5" s="118"/>
      <c r="C5" s="124"/>
      <c r="D5" s="125"/>
      <c r="E5" s="126"/>
      <c r="F5" s="126"/>
      <c r="G5" s="126"/>
      <c r="H5" s="126"/>
      <c r="I5" s="126"/>
      <c r="J5" s="123"/>
      <c r="K5" s="58">
        <f>'Rapport Pilotes'!$B$5</f>
        <v>0</v>
      </c>
      <c r="L5" s="116">
        <f>'Start Page'!$B$19</f>
        <v>0</v>
      </c>
      <c r="M5" s="72"/>
      <c r="N5" s="73"/>
      <c r="O5" s="61" t="e">
        <f ca="1">AVERAGEIF($E$8:$E$35,L5,$F$9:$F$35)</f>
        <v>#DIV/0!</v>
      </c>
      <c r="P5" s="62" t="e">
        <f>AVERAGEIF($E$8:$E$35,L5,$G$8:$G$35)</f>
        <v>#DIV/0!</v>
      </c>
      <c r="Q5" s="62" t="e">
        <f>AVERAGEIF($E$8:$E$35,L5,$H$8:$H$35)</f>
        <v>#DIV/0!</v>
      </c>
    </row>
    <row r="6" spans="1:23" ht="19.149999999999999" customHeight="1" thickBot="1" x14ac:dyDescent="0.3">
      <c r="A6" s="119"/>
      <c r="B6" s="118"/>
      <c r="C6" s="120"/>
      <c r="D6" s="127"/>
      <c r="E6" s="128"/>
      <c r="F6" s="128"/>
      <c r="G6" s="128"/>
      <c r="H6" s="128"/>
      <c r="I6" s="128"/>
      <c r="J6" s="123"/>
      <c r="K6" s="58">
        <f>'Rapport Pilotes'!$B$6</f>
        <v>0</v>
      </c>
      <c r="L6" s="49">
        <f>'Start Page'!$B$20</f>
        <v>0</v>
      </c>
      <c r="M6" s="74"/>
      <c r="N6" s="75"/>
      <c r="O6" s="61" t="e">
        <f ca="1">AVERAGEIF($E$8:$E$35,L6,$F$9:$F$35)</f>
        <v>#DIV/0!</v>
      </c>
      <c r="P6" s="62" t="e">
        <f>AVERAGEIF($E$8:$E$35,L6,$G$8:$G$35)</f>
        <v>#DIV/0!</v>
      </c>
      <c r="Q6" s="62" t="e">
        <f>AVERAGEIF($E$8:$E$35,L6,$H$8:$H$35)</f>
        <v>#DIV/0!</v>
      </c>
    </row>
    <row r="7" spans="1:23" ht="30" x14ac:dyDescent="0.25">
      <c r="A7" s="54" t="s">
        <v>114</v>
      </c>
      <c r="B7" s="76" t="s">
        <v>115</v>
      </c>
      <c r="C7" s="76" t="s">
        <v>103</v>
      </c>
      <c r="D7" s="77" t="s">
        <v>100</v>
      </c>
      <c r="E7" s="78" t="s">
        <v>116</v>
      </c>
      <c r="F7" s="76" t="s">
        <v>117</v>
      </c>
      <c r="G7" s="76" t="s">
        <v>118</v>
      </c>
      <c r="H7" s="76" t="s">
        <v>119</v>
      </c>
      <c r="I7" s="135"/>
      <c r="J7" s="80" t="s">
        <v>120</v>
      </c>
      <c r="K7" s="135"/>
      <c r="L7" s="81" t="s">
        <v>121</v>
      </c>
      <c r="M7" s="81" t="s">
        <v>105</v>
      </c>
      <c r="N7" s="82" t="s">
        <v>106</v>
      </c>
      <c r="O7" s="76" t="s">
        <v>122</v>
      </c>
      <c r="P7" s="76" t="s">
        <v>123</v>
      </c>
      <c r="Q7" s="76" t="s">
        <v>124</v>
      </c>
      <c r="R7" s="76" t="s">
        <v>125</v>
      </c>
      <c r="S7" s="76" t="s">
        <v>126</v>
      </c>
    </row>
    <row r="8" spans="1:23" ht="18" customHeight="1" x14ac:dyDescent="0.25">
      <c r="A8" s="83">
        <v>0.5</v>
      </c>
      <c r="B8" s="83" t="e">
        <f>J8</f>
        <v>#VALUE!</v>
      </c>
      <c r="C8" s="84">
        <v>1</v>
      </c>
      <c r="D8" s="85">
        <v>0</v>
      </c>
      <c r="E8" s="86" t="str">
        <f>IF('Stints List'!$I2,"",'Stints List'!$D2)</f>
        <v/>
      </c>
      <c r="F8" s="163" t="e">
        <f>'Stints List'!$K2/60/1440</f>
        <v>#VALUE!</v>
      </c>
      <c r="G8" s="87"/>
      <c r="H8" s="140" t="e">
        <f>'Stints List'!$F2/60/1440</f>
        <v>#VALUE!</v>
      </c>
      <c r="I8" s="136"/>
      <c r="J8" s="139" t="e">
        <f>_xlfn.VALUETOTEXT(F8)+_xlfn.VALUETOTEXT(H8)</f>
        <v>#VALUE!</v>
      </c>
      <c r="K8" s="137"/>
      <c r="L8" s="141"/>
      <c r="M8" s="141"/>
      <c r="N8" s="141"/>
      <c r="O8" s="142"/>
      <c r="P8" s="142"/>
      <c r="Q8" s="143"/>
      <c r="R8" s="90"/>
      <c r="S8" s="91">
        <f>$R8-$B$6</f>
        <v>0</v>
      </c>
    </row>
    <row r="9" spans="1:23" ht="19.149999999999999" customHeight="1" x14ac:dyDescent="0.25">
      <c r="A9" s="83" t="e">
        <f t="shared" ref="A9:A34" si="0">A8+J8</f>
        <v>#VALUE!</v>
      </c>
      <c r="B9" s="83" t="e">
        <f>B8+J9</f>
        <v>#VALUE!</v>
      </c>
      <c r="C9" s="84">
        <v>2</v>
      </c>
      <c r="D9" s="92" t="str">
        <f>IF('Stints List'!$I3,"",1)</f>
        <v/>
      </c>
      <c r="E9" s="86" t="str">
        <f>IF('Stints List'!$I3,"",'Stints List'!$D3)</f>
        <v/>
      </c>
      <c r="F9" s="163" t="e">
        <f>'Stints List'!$K3/60/1440</f>
        <v>#VALUE!</v>
      </c>
      <c r="G9" s="87" t="e">
        <f>'Stints List'!$Q3/60/1440</f>
        <v>#VALUE!</v>
      </c>
      <c r="H9" s="140" t="e">
        <f>'Stints List'!$F3/60/1440</f>
        <v>#VALUE!</v>
      </c>
      <c r="I9" s="136"/>
      <c r="J9" s="138" t="e">
        <f t="shared" ref="J9:J43" si="1">_xlfn.VALUETOTEXT(F9)+_xlfn.VALUETOTEXT(H9)</f>
        <v>#VALUE!</v>
      </c>
      <c r="K9" s="137"/>
      <c r="L9" s="141"/>
      <c r="M9" s="141"/>
      <c r="N9" s="141"/>
      <c r="O9" s="142"/>
      <c r="P9" s="142"/>
      <c r="Q9" s="143"/>
      <c r="R9" s="90"/>
      <c r="S9" s="91">
        <f t="shared" ref="S9:S22" si="2">$R9-$B$6</f>
        <v>0</v>
      </c>
      <c r="W9" s="67"/>
    </row>
    <row r="10" spans="1:23" ht="19.149999999999999" customHeight="1" x14ac:dyDescent="0.25">
      <c r="A10" s="83" t="e">
        <f t="shared" si="0"/>
        <v>#VALUE!</v>
      </c>
      <c r="B10" s="83" t="e">
        <f t="shared" ref="B10:B34" si="3">B9+J10</f>
        <v>#VALUE!</v>
      </c>
      <c r="C10" s="84">
        <v>3</v>
      </c>
      <c r="D10" s="92" t="str">
        <f>IF('Stints List'!$I4,"",1)</f>
        <v/>
      </c>
      <c r="E10" s="86" t="str">
        <f>IF('Stints List'!$I4,"",'Stints List'!$D4)</f>
        <v/>
      </c>
      <c r="F10" s="163" t="e">
        <f>'Stints List'!$K4/60/1440</f>
        <v>#VALUE!</v>
      </c>
      <c r="G10" s="87" t="e">
        <f>'Stints List'!$Q4/60/1440</f>
        <v>#VALUE!</v>
      </c>
      <c r="H10" s="140" t="e">
        <f>'Stints List'!$F4/60/1440</f>
        <v>#VALUE!</v>
      </c>
      <c r="I10" s="136"/>
      <c r="J10" s="138" t="e">
        <f t="shared" si="1"/>
        <v>#VALUE!</v>
      </c>
      <c r="K10" s="137"/>
      <c r="L10" s="141"/>
      <c r="M10" s="141"/>
      <c r="N10" s="141"/>
      <c r="O10" s="142"/>
      <c r="P10" s="142"/>
      <c r="Q10" s="144"/>
      <c r="R10" s="93"/>
      <c r="S10" s="91">
        <f t="shared" si="2"/>
        <v>0</v>
      </c>
      <c r="W10" s="67"/>
    </row>
    <row r="11" spans="1:23" s="94" customFormat="1" ht="19.149999999999999" customHeight="1" x14ac:dyDescent="0.25">
      <c r="A11" s="83" t="e">
        <f t="shared" si="0"/>
        <v>#VALUE!</v>
      </c>
      <c r="B11" s="83" t="e">
        <f t="shared" si="3"/>
        <v>#VALUE!</v>
      </c>
      <c r="C11" s="84">
        <v>4</v>
      </c>
      <c r="D11" s="92" t="str">
        <f>IF('Stints List'!$I5,"",1)</f>
        <v/>
      </c>
      <c r="E11" s="86" t="str">
        <f>IF('Stints List'!$I5,"",'Stints List'!$D5)</f>
        <v/>
      </c>
      <c r="F11" s="163" t="e">
        <f>'Stints List'!$K5/60/1440</f>
        <v>#VALUE!</v>
      </c>
      <c r="G11" s="87" t="e">
        <f>'Stints List'!$Q5/60/1440</f>
        <v>#VALUE!</v>
      </c>
      <c r="H11" s="140" t="e">
        <f>'Stints List'!$F5/60/1440</f>
        <v>#VALUE!</v>
      </c>
      <c r="I11" s="136"/>
      <c r="J11" s="138" t="e">
        <f t="shared" si="1"/>
        <v>#VALUE!</v>
      </c>
      <c r="K11" s="137"/>
      <c r="L11" s="141"/>
      <c r="M11" s="141"/>
      <c r="N11" s="141"/>
      <c r="O11" s="142"/>
      <c r="P11" s="142"/>
      <c r="Q11" s="144"/>
      <c r="R11" s="90"/>
      <c r="S11" s="91">
        <f t="shared" si="2"/>
        <v>0</v>
      </c>
      <c r="T11" s="56"/>
      <c r="U11" s="56"/>
      <c r="V11" s="56"/>
    </row>
    <row r="12" spans="1:23" ht="19.149999999999999" customHeight="1" x14ac:dyDescent="0.25">
      <c r="A12" s="83" t="e">
        <f t="shared" si="0"/>
        <v>#VALUE!</v>
      </c>
      <c r="B12" s="83" t="e">
        <f t="shared" si="3"/>
        <v>#VALUE!</v>
      </c>
      <c r="C12" s="84">
        <v>5</v>
      </c>
      <c r="D12" s="92" t="str">
        <f>IF('Stints List'!$I6,"",1)</f>
        <v/>
      </c>
      <c r="E12" s="86" t="str">
        <f>IF('Stints List'!$I6,"",'Stints List'!$D6)</f>
        <v/>
      </c>
      <c r="F12" s="163" t="e">
        <f>'Stints List'!$K6/60/1440</f>
        <v>#VALUE!</v>
      </c>
      <c r="G12" s="87" t="e">
        <f>'Stints List'!$Q6/60/1440</f>
        <v>#VALUE!</v>
      </c>
      <c r="H12" s="140" t="e">
        <f>'Stints List'!$F6/60/1440</f>
        <v>#VALUE!</v>
      </c>
      <c r="I12" s="136"/>
      <c r="J12" s="138" t="e">
        <f t="shared" si="1"/>
        <v>#VALUE!</v>
      </c>
      <c r="K12" s="137"/>
      <c r="L12" s="141"/>
      <c r="M12" s="141"/>
      <c r="N12" s="141"/>
      <c r="O12" s="142"/>
      <c r="P12" s="142"/>
      <c r="Q12" s="143"/>
      <c r="R12" s="90"/>
      <c r="S12" s="91">
        <f t="shared" si="2"/>
        <v>0</v>
      </c>
    </row>
    <row r="13" spans="1:23" ht="19.149999999999999" customHeight="1" x14ac:dyDescent="0.25">
      <c r="A13" s="83" t="e">
        <f t="shared" si="0"/>
        <v>#VALUE!</v>
      </c>
      <c r="B13" s="83" t="e">
        <f t="shared" si="3"/>
        <v>#VALUE!</v>
      </c>
      <c r="C13" s="84">
        <v>6</v>
      </c>
      <c r="D13" s="92" t="str">
        <f>IF('Stints List'!$I7,"",1)</f>
        <v/>
      </c>
      <c r="E13" s="86" t="str">
        <f>IF('Stints List'!$I7,"",'Stints List'!$D7)</f>
        <v/>
      </c>
      <c r="F13" s="163" t="e">
        <f>'Stints List'!$K7/60/1440</f>
        <v>#VALUE!</v>
      </c>
      <c r="G13" s="87" t="e">
        <f>'Stints List'!$Q7/60/1440</f>
        <v>#VALUE!</v>
      </c>
      <c r="H13" s="140" t="e">
        <f>'Stints List'!$F7/60/1440</f>
        <v>#VALUE!</v>
      </c>
      <c r="I13" s="136"/>
      <c r="J13" s="138" t="e">
        <f t="shared" si="1"/>
        <v>#VALUE!</v>
      </c>
      <c r="K13" s="137"/>
      <c r="L13" s="141"/>
      <c r="M13" s="141"/>
      <c r="N13" s="141"/>
      <c r="O13" s="142"/>
      <c r="P13" s="142"/>
      <c r="Q13" s="143"/>
      <c r="R13" s="90"/>
      <c r="S13" s="91">
        <f t="shared" si="2"/>
        <v>0</v>
      </c>
    </row>
    <row r="14" spans="1:23" ht="19.149999999999999" customHeight="1" x14ac:dyDescent="0.25">
      <c r="A14" s="83" t="e">
        <f t="shared" si="0"/>
        <v>#VALUE!</v>
      </c>
      <c r="B14" s="83" t="e">
        <f t="shared" si="3"/>
        <v>#VALUE!</v>
      </c>
      <c r="C14" s="84">
        <v>7</v>
      </c>
      <c r="D14" s="92" t="str">
        <f>IF('Stints List'!$I8,"",1)</f>
        <v/>
      </c>
      <c r="E14" s="86" t="str">
        <f>IF('Stints List'!$I8,"",'Stints List'!$D8)</f>
        <v/>
      </c>
      <c r="F14" s="163" t="e">
        <f>'Stints List'!$K8/60/1440</f>
        <v>#VALUE!</v>
      </c>
      <c r="G14" s="87" t="e">
        <f>'Stints List'!$Q8/60/1440</f>
        <v>#VALUE!</v>
      </c>
      <c r="H14" s="140" t="e">
        <f>'Stints List'!$F8/60/1440</f>
        <v>#VALUE!</v>
      </c>
      <c r="I14" s="136"/>
      <c r="J14" s="138" t="e">
        <f t="shared" si="1"/>
        <v>#VALUE!</v>
      </c>
      <c r="K14" s="137"/>
      <c r="L14" s="141"/>
      <c r="M14" s="141"/>
      <c r="N14" s="141"/>
      <c r="O14" s="142"/>
      <c r="P14" s="142"/>
      <c r="Q14" s="144"/>
      <c r="R14" s="93"/>
      <c r="S14" s="91">
        <f t="shared" si="2"/>
        <v>0</v>
      </c>
    </row>
    <row r="15" spans="1:23" ht="19.149999999999999" customHeight="1" x14ac:dyDescent="0.25">
      <c r="A15" s="83" t="e">
        <f t="shared" si="0"/>
        <v>#VALUE!</v>
      </c>
      <c r="B15" s="83" t="e">
        <f t="shared" si="3"/>
        <v>#VALUE!</v>
      </c>
      <c r="C15" s="84">
        <v>8</v>
      </c>
      <c r="D15" s="92" t="str">
        <f>IF('Stints List'!$I9,"",1)</f>
        <v/>
      </c>
      <c r="E15" s="86" t="str">
        <f>IF('Stints List'!$I9,"",'Stints List'!$D9)</f>
        <v/>
      </c>
      <c r="F15" s="163" t="e">
        <f>'Stints List'!$K9/60/1440</f>
        <v>#VALUE!</v>
      </c>
      <c r="G15" s="87" t="e">
        <f>'Stints List'!$Q9/60/1440</f>
        <v>#VALUE!</v>
      </c>
      <c r="H15" s="140" t="e">
        <f>'Stints List'!$F9/60/1440</f>
        <v>#VALUE!</v>
      </c>
      <c r="I15" s="136"/>
      <c r="J15" s="138" t="e">
        <f t="shared" si="1"/>
        <v>#VALUE!</v>
      </c>
      <c r="K15" s="137"/>
      <c r="L15" s="141"/>
      <c r="M15" s="141"/>
      <c r="N15" s="141"/>
      <c r="O15" s="142"/>
      <c r="P15" s="142"/>
      <c r="Q15" s="145"/>
      <c r="R15" s="93"/>
      <c r="S15" s="91">
        <f t="shared" si="2"/>
        <v>0</v>
      </c>
    </row>
    <row r="16" spans="1:23" ht="19.149999999999999" customHeight="1" x14ac:dyDescent="0.25">
      <c r="A16" s="83" t="e">
        <f t="shared" si="0"/>
        <v>#VALUE!</v>
      </c>
      <c r="B16" s="83" t="e">
        <f t="shared" si="3"/>
        <v>#VALUE!</v>
      </c>
      <c r="C16" s="84">
        <v>9</v>
      </c>
      <c r="D16" s="92" t="str">
        <f>IF('Stints List'!$I10,"",1)</f>
        <v/>
      </c>
      <c r="E16" s="86" t="str">
        <f>IF('Stints List'!$I10,"",'Stints List'!$D10)</f>
        <v/>
      </c>
      <c r="F16" s="163" t="e">
        <f>'Stints List'!$K10/60/1440</f>
        <v>#VALUE!</v>
      </c>
      <c r="G16" s="87" t="e">
        <f>'Stints List'!$Q10/60/1440</f>
        <v>#VALUE!</v>
      </c>
      <c r="H16" s="140" t="e">
        <f>'Stints List'!$F10/60/1440</f>
        <v>#VALUE!</v>
      </c>
      <c r="I16" s="136"/>
      <c r="J16" s="138" t="e">
        <f t="shared" si="1"/>
        <v>#VALUE!</v>
      </c>
      <c r="K16" s="137"/>
      <c r="L16" s="141"/>
      <c r="M16" s="141"/>
      <c r="N16" s="141"/>
      <c r="O16" s="142"/>
      <c r="P16" s="142"/>
      <c r="Q16" s="146"/>
      <c r="R16" s="90"/>
      <c r="S16" s="91">
        <f t="shared" si="2"/>
        <v>0</v>
      </c>
    </row>
    <row r="17" spans="1:19" ht="19.149999999999999" customHeight="1" x14ac:dyDescent="0.25">
      <c r="A17" s="83" t="e">
        <f t="shared" si="0"/>
        <v>#VALUE!</v>
      </c>
      <c r="B17" s="83" t="e">
        <f t="shared" si="3"/>
        <v>#VALUE!</v>
      </c>
      <c r="C17" s="84">
        <v>10</v>
      </c>
      <c r="D17" s="92" t="str">
        <f>IF('Stints List'!$I11,"",1)</f>
        <v/>
      </c>
      <c r="E17" s="86" t="str">
        <f>IF('Stints List'!$I11,"",'Stints List'!$D11)</f>
        <v/>
      </c>
      <c r="F17" s="163" t="e">
        <f>'Stints List'!$K11/60/1440</f>
        <v>#VALUE!</v>
      </c>
      <c r="G17" s="87" t="e">
        <f>'Stints List'!$Q11/60/1440</f>
        <v>#VALUE!</v>
      </c>
      <c r="H17" s="140" t="e">
        <f>'Stints List'!$F11/60/1440</f>
        <v>#VALUE!</v>
      </c>
      <c r="I17" s="136"/>
      <c r="J17" s="138" t="e">
        <f t="shared" si="1"/>
        <v>#VALUE!</v>
      </c>
      <c r="K17" s="137"/>
      <c r="L17" s="141"/>
      <c r="M17" s="141"/>
      <c r="N17" s="141"/>
      <c r="O17" s="142"/>
      <c r="P17" s="142"/>
      <c r="Q17" s="144"/>
      <c r="R17" s="90"/>
      <c r="S17" s="91">
        <f t="shared" si="2"/>
        <v>0</v>
      </c>
    </row>
    <row r="18" spans="1:19" ht="19.149999999999999" customHeight="1" x14ac:dyDescent="0.25">
      <c r="A18" s="83" t="e">
        <f t="shared" si="0"/>
        <v>#VALUE!</v>
      </c>
      <c r="B18" s="83" t="e">
        <f t="shared" si="3"/>
        <v>#VALUE!</v>
      </c>
      <c r="C18" s="84">
        <v>11</v>
      </c>
      <c r="D18" s="92" t="str">
        <f>IF('Stints List'!$I12,"",1)</f>
        <v/>
      </c>
      <c r="E18" s="86" t="str">
        <f>IF('Stints List'!$I12,"",'Stints List'!$D12)</f>
        <v/>
      </c>
      <c r="F18" s="163" t="e">
        <f>'Stints List'!$K12/60/1440</f>
        <v>#VALUE!</v>
      </c>
      <c r="G18" s="87" t="e">
        <f>'Stints List'!$Q12/60/1440</f>
        <v>#VALUE!</v>
      </c>
      <c r="H18" s="140" t="e">
        <f>'Stints List'!$F12/60/1440</f>
        <v>#VALUE!</v>
      </c>
      <c r="I18" s="136"/>
      <c r="J18" s="138" t="e">
        <f t="shared" si="1"/>
        <v>#VALUE!</v>
      </c>
      <c r="K18" s="137"/>
      <c r="L18" s="141"/>
      <c r="M18" s="141"/>
      <c r="N18" s="141"/>
      <c r="O18" s="142"/>
      <c r="P18" s="142"/>
      <c r="Q18" s="143"/>
      <c r="R18" s="90"/>
      <c r="S18" s="91">
        <f t="shared" si="2"/>
        <v>0</v>
      </c>
    </row>
    <row r="19" spans="1:19" ht="19.149999999999999" customHeight="1" x14ac:dyDescent="0.25">
      <c r="A19" s="83" t="e">
        <f t="shared" si="0"/>
        <v>#VALUE!</v>
      </c>
      <c r="B19" s="83" t="e">
        <f t="shared" si="3"/>
        <v>#VALUE!</v>
      </c>
      <c r="C19" s="84">
        <v>12</v>
      </c>
      <c r="D19" s="92" t="str">
        <f>IF('Stints List'!$I13,"",1)</f>
        <v/>
      </c>
      <c r="E19" s="86" t="str">
        <f>IF('Stints List'!$I13,"",'Stints List'!$D13)</f>
        <v/>
      </c>
      <c r="F19" s="163" t="e">
        <f>'Stints List'!$K13/60/1440</f>
        <v>#VALUE!</v>
      </c>
      <c r="G19" s="87" t="e">
        <f>'Stints List'!$Q13/60/1440</f>
        <v>#VALUE!</v>
      </c>
      <c r="H19" s="140" t="e">
        <f>'Stints List'!$F13/60/1440</f>
        <v>#VALUE!</v>
      </c>
      <c r="I19" s="136"/>
      <c r="J19" s="138" t="e">
        <f t="shared" si="1"/>
        <v>#VALUE!</v>
      </c>
      <c r="K19" s="137"/>
      <c r="L19" s="141"/>
      <c r="M19" s="141"/>
      <c r="N19" s="141"/>
      <c r="O19" s="142"/>
      <c r="P19" s="142"/>
      <c r="Q19" s="144"/>
      <c r="R19" s="93"/>
      <c r="S19" s="91">
        <f t="shared" si="2"/>
        <v>0</v>
      </c>
    </row>
    <row r="20" spans="1:19" ht="19.149999999999999" customHeight="1" x14ac:dyDescent="0.25">
      <c r="A20" s="83" t="e">
        <f t="shared" si="0"/>
        <v>#VALUE!</v>
      </c>
      <c r="B20" s="83" t="e">
        <f t="shared" si="3"/>
        <v>#VALUE!</v>
      </c>
      <c r="C20" s="84">
        <v>13</v>
      </c>
      <c r="D20" s="92" t="str">
        <f>IF('Stints List'!$I14,"",1)</f>
        <v/>
      </c>
      <c r="E20" s="86" t="str">
        <f>IF('Stints List'!$I14,"",'Stints List'!$D14)</f>
        <v/>
      </c>
      <c r="F20" s="163" t="e">
        <f>'Stints List'!$K14/60/1440</f>
        <v>#VALUE!</v>
      </c>
      <c r="G20" s="87" t="e">
        <f>'Stints List'!$Q14/60/1440</f>
        <v>#VALUE!</v>
      </c>
      <c r="H20" s="140" t="e">
        <f>'Stints List'!$F14/60/1440</f>
        <v>#VALUE!</v>
      </c>
      <c r="I20" s="136"/>
      <c r="J20" s="138" t="e">
        <f t="shared" si="1"/>
        <v>#VALUE!</v>
      </c>
      <c r="K20" s="137"/>
      <c r="L20" s="141"/>
      <c r="M20" s="141"/>
      <c r="N20" s="141"/>
      <c r="O20" s="142"/>
      <c r="P20" s="142"/>
      <c r="Q20" s="144"/>
      <c r="R20" s="90"/>
      <c r="S20" s="91">
        <f t="shared" si="2"/>
        <v>0</v>
      </c>
    </row>
    <row r="21" spans="1:19" ht="19.149999999999999" customHeight="1" x14ac:dyDescent="0.25">
      <c r="A21" s="83" t="e">
        <f>A20+J20</f>
        <v>#VALUE!</v>
      </c>
      <c r="B21" s="83" t="e">
        <f>B20+J21</f>
        <v>#VALUE!</v>
      </c>
      <c r="C21" s="84">
        <v>14</v>
      </c>
      <c r="D21" s="92" t="str">
        <f>IF('Stints List'!$I15,"",1)</f>
        <v/>
      </c>
      <c r="E21" s="86" t="str">
        <f>IF('Stints List'!$I15,"",'Stints List'!$D15)</f>
        <v/>
      </c>
      <c r="F21" s="163" t="e">
        <f>'Stints List'!$K15/60/1440</f>
        <v>#VALUE!</v>
      </c>
      <c r="G21" s="87" t="e">
        <f>'Stints List'!$Q15/60/1440</f>
        <v>#VALUE!</v>
      </c>
      <c r="H21" s="140" t="e">
        <f>'Stints List'!$F15/60/1440</f>
        <v>#VALUE!</v>
      </c>
      <c r="I21" s="136"/>
      <c r="J21" s="138" t="e">
        <f t="shared" si="1"/>
        <v>#VALUE!</v>
      </c>
      <c r="K21" s="137"/>
      <c r="L21" s="141"/>
      <c r="M21" s="141"/>
      <c r="N21" s="141"/>
      <c r="O21" s="142"/>
      <c r="P21" s="142"/>
      <c r="Q21" s="144"/>
      <c r="R21" s="93"/>
      <c r="S21" s="91">
        <f t="shared" si="2"/>
        <v>0</v>
      </c>
    </row>
    <row r="22" spans="1:19" ht="18.600000000000001" customHeight="1" x14ac:dyDescent="0.25">
      <c r="A22" s="83" t="e">
        <f t="shared" si="0"/>
        <v>#VALUE!</v>
      </c>
      <c r="B22" s="83" t="e">
        <f t="shared" si="3"/>
        <v>#VALUE!</v>
      </c>
      <c r="C22" s="84">
        <v>15</v>
      </c>
      <c r="D22" s="92" t="str">
        <f>IF('Stints List'!$I16,"",1)</f>
        <v/>
      </c>
      <c r="E22" s="86" t="str">
        <f>IF('Stints List'!$I16,"",'Stints List'!$D16)</f>
        <v/>
      </c>
      <c r="F22" s="163" t="e">
        <f>'Stints List'!$K16/60/1440</f>
        <v>#VALUE!</v>
      </c>
      <c r="G22" s="87" t="e">
        <f>'Stints List'!$Q16/60/1440</f>
        <v>#VALUE!</v>
      </c>
      <c r="H22" s="140" t="e">
        <f>'Stints List'!$F16/60/1440</f>
        <v>#VALUE!</v>
      </c>
      <c r="I22" s="136"/>
      <c r="J22" s="138" t="e">
        <f t="shared" si="1"/>
        <v>#VALUE!</v>
      </c>
      <c r="K22" s="137"/>
      <c r="L22" s="141"/>
      <c r="M22" s="141"/>
      <c r="N22" s="141"/>
      <c r="O22" s="142"/>
      <c r="P22" s="142"/>
      <c r="Q22" s="144"/>
      <c r="R22" s="90"/>
      <c r="S22" s="91">
        <f t="shared" si="2"/>
        <v>0</v>
      </c>
    </row>
    <row r="23" spans="1:19" ht="18.600000000000001" customHeight="1" x14ac:dyDescent="0.25">
      <c r="A23" s="83" t="e">
        <f t="shared" si="0"/>
        <v>#VALUE!</v>
      </c>
      <c r="B23" s="83" t="e">
        <f t="shared" si="3"/>
        <v>#VALUE!</v>
      </c>
      <c r="C23" s="84">
        <v>16</v>
      </c>
      <c r="D23" s="92" t="str">
        <f>IF('Stints List'!$I17,"",1)</f>
        <v/>
      </c>
      <c r="E23" s="86" t="str">
        <f>IF('Stints List'!$I17,"",'Stints List'!$D17)</f>
        <v/>
      </c>
      <c r="F23" s="163" t="e">
        <f>'Stints List'!$K17/60/1440</f>
        <v>#VALUE!</v>
      </c>
      <c r="G23" s="87" t="e">
        <f>'Stints List'!$Q17/60/1440</f>
        <v>#VALUE!</v>
      </c>
      <c r="H23" s="140" t="e">
        <f>'Stints List'!$F17/60/1440</f>
        <v>#VALUE!</v>
      </c>
      <c r="I23" s="136"/>
      <c r="J23" s="138" t="e">
        <f t="shared" si="1"/>
        <v>#VALUE!</v>
      </c>
      <c r="K23" s="137"/>
      <c r="L23" s="95"/>
      <c r="M23" s="95"/>
      <c r="N23" s="95"/>
      <c r="O23" s="96"/>
      <c r="P23" s="96"/>
      <c r="Q23" s="97"/>
      <c r="R23" s="90"/>
      <c r="S23" s="91"/>
    </row>
    <row r="24" spans="1:19" ht="18.600000000000001" customHeight="1" x14ac:dyDescent="0.25">
      <c r="A24" s="83" t="e">
        <f t="shared" si="0"/>
        <v>#VALUE!</v>
      </c>
      <c r="B24" s="83" t="e">
        <f t="shared" si="3"/>
        <v>#VALUE!</v>
      </c>
      <c r="C24" s="84">
        <v>17</v>
      </c>
      <c r="D24" s="92" t="str">
        <f>IF('Stints List'!$I18,"",1)</f>
        <v/>
      </c>
      <c r="E24" s="86" t="str">
        <f>IF('Stints List'!$I18,"",'Stints List'!$D18)</f>
        <v/>
      </c>
      <c r="F24" s="163" t="e">
        <f>'Stints List'!$K18/60/1440</f>
        <v>#VALUE!</v>
      </c>
      <c r="G24" s="87" t="e">
        <f>'Stints List'!$Q18/60/1440</f>
        <v>#VALUE!</v>
      </c>
      <c r="H24" s="140" t="e">
        <f>'Stints List'!$F18/60/1440</f>
        <v>#VALUE!</v>
      </c>
      <c r="I24" s="136"/>
      <c r="J24" s="138" t="e">
        <f t="shared" si="1"/>
        <v>#VALUE!</v>
      </c>
      <c r="K24" s="137"/>
      <c r="L24" s="95"/>
      <c r="M24" s="95"/>
      <c r="N24" s="95"/>
      <c r="O24" s="96"/>
      <c r="P24" s="96"/>
      <c r="Q24" s="97"/>
      <c r="R24" s="90"/>
      <c r="S24" s="91"/>
    </row>
    <row r="25" spans="1:19" ht="18.600000000000001" customHeight="1" x14ac:dyDescent="0.25">
      <c r="A25" s="83" t="e">
        <f t="shared" si="0"/>
        <v>#VALUE!</v>
      </c>
      <c r="B25" s="83" t="e">
        <f t="shared" si="3"/>
        <v>#VALUE!</v>
      </c>
      <c r="C25" s="84">
        <v>18</v>
      </c>
      <c r="D25" s="92" t="str">
        <f>IF('Stints List'!$I19,"",1)</f>
        <v/>
      </c>
      <c r="E25" s="86" t="str">
        <f>IF('Stints List'!$I19,"",'Stints List'!$D19)</f>
        <v/>
      </c>
      <c r="F25" s="163" t="e">
        <f>'Stints List'!$K19/60/1440</f>
        <v>#VALUE!</v>
      </c>
      <c r="G25" s="87" t="e">
        <f>'Stints List'!$Q19/60/1440</f>
        <v>#VALUE!</v>
      </c>
      <c r="H25" s="140" t="e">
        <f>'Stints List'!$F19/60/1440</f>
        <v>#VALUE!</v>
      </c>
      <c r="I25" s="136"/>
      <c r="J25" s="138" t="e">
        <f t="shared" si="1"/>
        <v>#VALUE!</v>
      </c>
      <c r="K25" s="137"/>
      <c r="L25" s="95"/>
      <c r="M25" s="95"/>
      <c r="N25" s="95"/>
      <c r="O25" s="96"/>
      <c r="P25" s="96"/>
      <c r="Q25" s="97"/>
      <c r="R25" s="90"/>
      <c r="S25" s="91"/>
    </row>
    <row r="26" spans="1:19" ht="18.600000000000001" customHeight="1" x14ac:dyDescent="0.25">
      <c r="A26" s="83" t="e">
        <f t="shared" si="0"/>
        <v>#VALUE!</v>
      </c>
      <c r="B26" s="83" t="e">
        <f t="shared" si="3"/>
        <v>#VALUE!</v>
      </c>
      <c r="C26" s="84">
        <v>19</v>
      </c>
      <c r="D26" s="92" t="str">
        <f>IF('Stints List'!$I20,"",1)</f>
        <v/>
      </c>
      <c r="E26" s="86" t="str">
        <f>IF('Stints List'!$I20,"",'Stints List'!$D20)</f>
        <v/>
      </c>
      <c r="F26" s="163" t="e">
        <f>'Stints List'!$K20/60/1440</f>
        <v>#VALUE!</v>
      </c>
      <c r="G26" s="87" t="e">
        <f>'Stints List'!$Q20/60/1440</f>
        <v>#VALUE!</v>
      </c>
      <c r="H26" s="140" t="e">
        <f>'Stints List'!$F20/60/1440</f>
        <v>#VALUE!</v>
      </c>
      <c r="I26" s="136"/>
      <c r="J26" s="138" t="e">
        <f t="shared" si="1"/>
        <v>#VALUE!</v>
      </c>
      <c r="K26" s="137"/>
      <c r="L26" s="95"/>
      <c r="M26" s="95"/>
      <c r="N26" s="95"/>
      <c r="O26" s="96"/>
      <c r="P26" s="96"/>
      <c r="Q26" s="97"/>
      <c r="R26" s="90"/>
      <c r="S26" s="91"/>
    </row>
    <row r="27" spans="1:19" ht="18.600000000000001" customHeight="1" x14ac:dyDescent="0.25">
      <c r="A27" s="83" t="e">
        <f t="shared" si="0"/>
        <v>#VALUE!</v>
      </c>
      <c r="B27" s="83" t="e">
        <f t="shared" si="3"/>
        <v>#VALUE!</v>
      </c>
      <c r="C27" s="84">
        <v>20</v>
      </c>
      <c r="D27" s="92" t="str">
        <f>IF('Stints List'!$I21,"",1)</f>
        <v/>
      </c>
      <c r="E27" s="86" t="str">
        <f>IF('Stints List'!$I21,"",'Stints List'!$D21)</f>
        <v/>
      </c>
      <c r="F27" s="163" t="e">
        <f>'Stints List'!$K21/60/1440</f>
        <v>#VALUE!</v>
      </c>
      <c r="G27" s="87" t="e">
        <f>'Stints List'!$Q21/60/1440</f>
        <v>#VALUE!</v>
      </c>
      <c r="H27" s="140" t="e">
        <f>'Stints List'!$F21/60/1440</f>
        <v>#VALUE!</v>
      </c>
      <c r="I27" s="136"/>
      <c r="J27" s="138" t="e">
        <f t="shared" si="1"/>
        <v>#VALUE!</v>
      </c>
      <c r="K27" s="137"/>
      <c r="L27" s="95"/>
      <c r="M27" s="95"/>
      <c r="N27" s="95"/>
      <c r="O27" s="96"/>
      <c r="P27" s="96"/>
      <c r="Q27" s="97"/>
      <c r="R27" s="90"/>
      <c r="S27" s="91"/>
    </row>
    <row r="28" spans="1:19" ht="18.600000000000001" customHeight="1" x14ac:dyDescent="0.25">
      <c r="A28" s="83" t="e">
        <f t="shared" si="0"/>
        <v>#VALUE!</v>
      </c>
      <c r="B28" s="83" t="e">
        <f t="shared" si="3"/>
        <v>#VALUE!</v>
      </c>
      <c r="C28" s="84">
        <v>21</v>
      </c>
      <c r="D28" s="92" t="str">
        <f>IF('Stints List'!$I22,"",1)</f>
        <v/>
      </c>
      <c r="E28" s="86" t="str">
        <f>IF('Stints List'!$I22,"",'Stints List'!$D22)</f>
        <v/>
      </c>
      <c r="F28" s="163" t="e">
        <f>'Stints List'!$K22/60/1440</f>
        <v>#VALUE!</v>
      </c>
      <c r="G28" s="87" t="e">
        <f>'Stints List'!$Q22/60/1440</f>
        <v>#VALUE!</v>
      </c>
      <c r="H28" s="140" t="e">
        <f>'Stints List'!$F22/60/1440</f>
        <v>#VALUE!</v>
      </c>
      <c r="I28" s="136"/>
      <c r="J28" s="138" t="e">
        <f t="shared" si="1"/>
        <v>#VALUE!</v>
      </c>
      <c r="K28" s="137"/>
      <c r="L28" s="95"/>
      <c r="M28" s="95"/>
      <c r="N28" s="95"/>
      <c r="O28" s="96"/>
      <c r="P28" s="96"/>
      <c r="Q28" s="97"/>
      <c r="R28" s="90"/>
      <c r="S28" s="91"/>
    </row>
    <row r="29" spans="1:19" ht="18.600000000000001" customHeight="1" x14ac:dyDescent="0.25">
      <c r="A29" s="83" t="e">
        <f t="shared" si="0"/>
        <v>#VALUE!</v>
      </c>
      <c r="B29" s="83" t="e">
        <f t="shared" si="3"/>
        <v>#VALUE!</v>
      </c>
      <c r="C29" s="84">
        <v>22</v>
      </c>
      <c r="D29" s="92" t="str">
        <f>IF('Stints List'!$I23,"",1)</f>
        <v/>
      </c>
      <c r="E29" s="86" t="str">
        <f>IF('Stints List'!$I23,"",'Stints List'!$D23)</f>
        <v/>
      </c>
      <c r="F29" s="163" t="e">
        <f>'Stints List'!$K23/60/1440</f>
        <v>#VALUE!</v>
      </c>
      <c r="G29" s="87" t="e">
        <f>'Stints List'!$Q23/60/1440</f>
        <v>#VALUE!</v>
      </c>
      <c r="H29" s="140" t="e">
        <f>'Stints List'!$F23/60/1440</f>
        <v>#VALUE!</v>
      </c>
      <c r="I29" s="136"/>
      <c r="J29" s="138" t="e">
        <f t="shared" si="1"/>
        <v>#VALUE!</v>
      </c>
      <c r="K29" s="137"/>
      <c r="L29" s="95"/>
      <c r="M29" s="95"/>
      <c r="N29" s="95"/>
      <c r="O29" s="96"/>
      <c r="P29" s="96"/>
      <c r="Q29" s="97"/>
      <c r="R29" s="90"/>
      <c r="S29" s="91"/>
    </row>
    <row r="30" spans="1:19" ht="18.600000000000001" customHeight="1" x14ac:dyDescent="0.25">
      <c r="A30" s="83" t="e">
        <f t="shared" si="0"/>
        <v>#VALUE!</v>
      </c>
      <c r="B30" s="83" t="e">
        <f t="shared" si="3"/>
        <v>#VALUE!</v>
      </c>
      <c r="C30" s="84">
        <v>23</v>
      </c>
      <c r="D30" s="92" t="str">
        <f>IF('Stints List'!$I24,"",1)</f>
        <v/>
      </c>
      <c r="E30" s="86" t="str">
        <f>IF('Stints List'!$I24,"",'Stints List'!$D24)</f>
        <v/>
      </c>
      <c r="F30" s="163" t="e">
        <f>'Stints List'!$K24/60/1440</f>
        <v>#VALUE!</v>
      </c>
      <c r="G30" s="87" t="e">
        <f>'Stints List'!$Q24/60/1440</f>
        <v>#VALUE!</v>
      </c>
      <c r="H30" s="140" t="e">
        <f>'Stints List'!$F24/60/1440</f>
        <v>#VALUE!</v>
      </c>
      <c r="I30" s="136"/>
      <c r="J30" s="138" t="e">
        <f t="shared" si="1"/>
        <v>#VALUE!</v>
      </c>
      <c r="K30" s="137"/>
      <c r="L30" s="95"/>
      <c r="M30" s="95"/>
      <c r="N30" s="95"/>
      <c r="O30" s="96"/>
      <c r="P30" s="96"/>
      <c r="Q30" s="97"/>
      <c r="R30" s="90"/>
      <c r="S30" s="91"/>
    </row>
    <row r="31" spans="1:19" ht="18.600000000000001" customHeight="1" x14ac:dyDescent="0.25">
      <c r="A31" s="83" t="e">
        <f t="shared" si="0"/>
        <v>#VALUE!</v>
      </c>
      <c r="B31" s="83" t="e">
        <f t="shared" si="3"/>
        <v>#VALUE!</v>
      </c>
      <c r="C31" s="84">
        <v>24</v>
      </c>
      <c r="D31" s="92" t="str">
        <f>IF('Stints List'!$I25,"",1)</f>
        <v/>
      </c>
      <c r="E31" s="86" t="str">
        <f>IF('Stints List'!$I25,"",'Stints List'!$D25)</f>
        <v/>
      </c>
      <c r="F31" s="163" t="e">
        <f>'Stints List'!$K25/60/1440</f>
        <v>#VALUE!</v>
      </c>
      <c r="G31" s="87" t="e">
        <f>'Stints List'!$Q25/60/1440</f>
        <v>#VALUE!</v>
      </c>
      <c r="H31" s="140" t="e">
        <f>'Stints List'!$F25/60/1440</f>
        <v>#VALUE!</v>
      </c>
      <c r="I31" s="136"/>
      <c r="J31" s="138" t="e">
        <f t="shared" si="1"/>
        <v>#VALUE!</v>
      </c>
      <c r="K31" s="137"/>
      <c r="L31" s="95"/>
      <c r="M31" s="95"/>
      <c r="N31" s="95"/>
      <c r="O31" s="96"/>
      <c r="P31" s="96"/>
      <c r="Q31" s="97"/>
      <c r="R31" s="90"/>
      <c r="S31" s="91"/>
    </row>
    <row r="32" spans="1:19" ht="18.600000000000001" customHeight="1" x14ac:dyDescent="0.25">
      <c r="A32" s="83" t="e">
        <f t="shared" si="0"/>
        <v>#VALUE!</v>
      </c>
      <c r="B32" s="83" t="e">
        <f t="shared" si="3"/>
        <v>#VALUE!</v>
      </c>
      <c r="C32" s="84">
        <v>25</v>
      </c>
      <c r="D32" s="92" t="str">
        <f>IF('Stints List'!$I26,"",1)</f>
        <v/>
      </c>
      <c r="E32" s="86" t="str">
        <f>IF('Stints List'!$I26,"",'Stints List'!$D26)</f>
        <v/>
      </c>
      <c r="F32" s="163" t="e">
        <f>'Stints List'!$K26/60/1440</f>
        <v>#VALUE!</v>
      </c>
      <c r="G32" s="87" t="e">
        <f>'Stints List'!$Q26/60/1440</f>
        <v>#VALUE!</v>
      </c>
      <c r="H32" s="140" t="e">
        <f>'Stints List'!$F26/60/1440</f>
        <v>#VALUE!</v>
      </c>
      <c r="I32" s="136"/>
      <c r="J32" s="138" t="e">
        <f t="shared" si="1"/>
        <v>#VALUE!</v>
      </c>
      <c r="K32" s="137"/>
      <c r="L32" s="95"/>
      <c r="M32" s="95"/>
      <c r="N32" s="95"/>
      <c r="O32" s="96"/>
      <c r="P32" s="96"/>
      <c r="Q32" s="97"/>
      <c r="R32" s="90"/>
      <c r="S32" s="91"/>
    </row>
    <row r="33" spans="1:19" ht="18.600000000000001" customHeight="1" x14ac:dyDescent="0.25">
      <c r="A33" s="83" t="e">
        <f t="shared" si="0"/>
        <v>#VALUE!</v>
      </c>
      <c r="B33" s="83" t="e">
        <f t="shared" si="3"/>
        <v>#VALUE!</v>
      </c>
      <c r="C33" s="84">
        <v>26</v>
      </c>
      <c r="D33" s="92" t="str">
        <f>IF('Stints List'!$I27,"",1)</f>
        <v/>
      </c>
      <c r="E33" s="86" t="str">
        <f>IF('Stints List'!$I27,"",'Stints List'!$D27)</f>
        <v/>
      </c>
      <c r="F33" s="163" t="e">
        <f>'Stints List'!$K27/60/1440</f>
        <v>#VALUE!</v>
      </c>
      <c r="G33" s="87" t="e">
        <f>'Stints List'!$Q27/60/1440</f>
        <v>#VALUE!</v>
      </c>
      <c r="H33" s="140" t="e">
        <f>'Stints List'!$F27/60/1440</f>
        <v>#VALUE!</v>
      </c>
      <c r="I33" s="136"/>
      <c r="J33" s="138" t="e">
        <f t="shared" si="1"/>
        <v>#VALUE!</v>
      </c>
      <c r="K33" s="137"/>
      <c r="L33" s="95"/>
      <c r="M33" s="95"/>
      <c r="N33" s="95"/>
      <c r="O33" s="96"/>
      <c r="P33" s="96"/>
      <c r="Q33" s="97"/>
      <c r="R33" s="90"/>
      <c r="S33" s="91"/>
    </row>
    <row r="34" spans="1:19" ht="18.600000000000001" customHeight="1" x14ac:dyDescent="0.25">
      <c r="A34" s="83" t="e">
        <f t="shared" si="0"/>
        <v>#VALUE!</v>
      </c>
      <c r="B34" s="83" t="e">
        <f t="shared" si="3"/>
        <v>#VALUE!</v>
      </c>
      <c r="C34" s="84">
        <v>27</v>
      </c>
      <c r="D34" s="92" t="str">
        <f>IF('Stints List'!$I28,"",1)</f>
        <v/>
      </c>
      <c r="E34" s="86" t="str">
        <f>IF('Stints List'!$I28,"",'Stints List'!$D28)</f>
        <v/>
      </c>
      <c r="F34" s="163" t="e">
        <f>'Stints List'!$K28/60/1440</f>
        <v>#VALUE!</v>
      </c>
      <c r="G34" s="87" t="e">
        <f>'Stints List'!$Q28/60/1440</f>
        <v>#VALUE!</v>
      </c>
      <c r="H34" s="140" t="e">
        <f>'Stints List'!$F28/60/1440</f>
        <v>#VALUE!</v>
      </c>
      <c r="I34" s="136"/>
      <c r="J34" s="138" t="e">
        <f t="shared" si="1"/>
        <v>#VALUE!</v>
      </c>
      <c r="K34" s="137"/>
      <c r="L34" s="95"/>
      <c r="M34" s="95"/>
      <c r="N34" s="95"/>
      <c r="O34" s="96"/>
      <c r="P34" s="96"/>
      <c r="Q34" s="97"/>
      <c r="R34" s="90"/>
      <c r="S34" s="91"/>
    </row>
    <row r="35" spans="1:19" ht="18.600000000000001" customHeight="1" x14ac:dyDescent="0.25">
      <c r="A35" s="83" t="e">
        <f>A34+J34</f>
        <v>#VALUE!</v>
      </c>
      <c r="B35" s="83" t="e">
        <f>B34+J35</f>
        <v>#VALUE!</v>
      </c>
      <c r="C35" s="84">
        <v>28</v>
      </c>
      <c r="D35" s="92" t="str">
        <f>IF('Stints List'!$I29,"",1)</f>
        <v/>
      </c>
      <c r="E35" s="86" t="str">
        <f>IF('Stints List'!$I29,"",'Stints List'!$D29)</f>
        <v/>
      </c>
      <c r="F35" s="163" t="e">
        <f>'Stints List'!$K29/60/1440</f>
        <v>#VALUE!</v>
      </c>
      <c r="G35" s="87" t="e">
        <f>'Stints List'!$Q29/60/1440</f>
        <v>#VALUE!</v>
      </c>
      <c r="H35" s="140" t="e">
        <f>'Stints List'!$F29/60/1440</f>
        <v>#VALUE!</v>
      </c>
      <c r="I35" s="136"/>
      <c r="J35" s="138" t="e">
        <f t="shared" si="1"/>
        <v>#VALUE!</v>
      </c>
      <c r="K35" s="137"/>
      <c r="L35" s="95"/>
      <c r="M35" s="95"/>
      <c r="N35" s="95"/>
      <c r="O35" s="96"/>
      <c r="P35" s="96"/>
      <c r="Q35" s="98"/>
      <c r="R35" s="90"/>
      <c r="S35" s="91"/>
    </row>
    <row r="36" spans="1:19" ht="18.600000000000001" customHeight="1" x14ac:dyDescent="0.25">
      <c r="A36" s="83"/>
      <c r="B36" s="83"/>
      <c r="C36" s="84">
        <v>29</v>
      </c>
      <c r="D36" s="92"/>
      <c r="E36" s="86"/>
      <c r="F36" s="163" t="e">
        <f>'Stints List'!$K30/60/1440</f>
        <v>#VALUE!</v>
      </c>
      <c r="G36" s="87" t="e">
        <f>'Stints List'!$Q30/60/1440</f>
        <v>#VALUE!</v>
      </c>
      <c r="H36" s="140" t="e">
        <f>'Stints List'!$F30/60/1440</f>
        <v>#VALUE!</v>
      </c>
      <c r="I36" s="136"/>
      <c r="J36" s="138" t="e">
        <f t="shared" si="1"/>
        <v>#VALUE!</v>
      </c>
      <c r="K36" s="137"/>
      <c r="L36" s="95"/>
      <c r="M36" s="95"/>
      <c r="N36" s="95"/>
      <c r="O36" s="96"/>
      <c r="P36" s="96"/>
      <c r="Q36" s="98"/>
      <c r="R36" s="90"/>
      <c r="S36" s="91"/>
    </row>
    <row r="37" spans="1:19" ht="18.600000000000001" customHeight="1" x14ac:dyDescent="0.25">
      <c r="A37" s="83"/>
      <c r="B37" s="83"/>
      <c r="C37" s="84">
        <v>30</v>
      </c>
      <c r="D37" s="92"/>
      <c r="E37" s="86"/>
      <c r="F37" s="163" t="e">
        <f>'Stints List'!$K31/60/1440</f>
        <v>#VALUE!</v>
      </c>
      <c r="G37" s="87" t="e">
        <f>'Stints List'!$Q31/60/1440</f>
        <v>#VALUE!</v>
      </c>
      <c r="H37" s="140" t="e">
        <f>'Stints List'!$F31/60/1440</f>
        <v>#VALUE!</v>
      </c>
      <c r="I37" s="136"/>
      <c r="J37" s="138" t="e">
        <f t="shared" si="1"/>
        <v>#VALUE!</v>
      </c>
      <c r="K37" s="137"/>
      <c r="L37" s="95"/>
      <c r="M37" s="95"/>
      <c r="N37" s="95"/>
      <c r="O37" s="96"/>
      <c r="P37" s="96"/>
      <c r="Q37" s="98"/>
      <c r="R37" s="90"/>
      <c r="S37" s="91"/>
    </row>
    <row r="38" spans="1:19" ht="18.600000000000001" customHeight="1" x14ac:dyDescent="0.25">
      <c r="A38" s="83"/>
      <c r="B38" s="83"/>
      <c r="C38" s="84">
        <v>31</v>
      </c>
      <c r="D38" s="92"/>
      <c r="E38" s="86"/>
      <c r="F38" s="163" t="e">
        <f>'Stints List'!$K32/60/1440</f>
        <v>#VALUE!</v>
      </c>
      <c r="G38" s="87" t="e">
        <f>'Stints List'!$Q32/60/1440</f>
        <v>#VALUE!</v>
      </c>
      <c r="H38" s="140" t="e">
        <f>'Stints List'!$F32/60/1440</f>
        <v>#VALUE!</v>
      </c>
      <c r="I38" s="136"/>
      <c r="J38" s="138" t="e">
        <f t="shared" si="1"/>
        <v>#VALUE!</v>
      </c>
      <c r="K38" s="137"/>
      <c r="L38" s="95"/>
      <c r="M38" s="95"/>
      <c r="N38" s="95"/>
      <c r="O38" s="96"/>
      <c r="P38" s="96"/>
      <c r="Q38" s="98"/>
      <c r="R38" s="90"/>
      <c r="S38" s="91"/>
    </row>
    <row r="39" spans="1:19" ht="18.600000000000001" customHeight="1" x14ac:dyDescent="0.25">
      <c r="A39" s="83"/>
      <c r="B39" s="83"/>
      <c r="C39" s="84">
        <v>32</v>
      </c>
      <c r="D39" s="92"/>
      <c r="E39" s="86"/>
      <c r="F39" s="163" t="e">
        <f>'Stints List'!$K33/60/1440</f>
        <v>#VALUE!</v>
      </c>
      <c r="G39" s="87" t="e">
        <f>'Stints List'!$Q33/60/1440</f>
        <v>#VALUE!</v>
      </c>
      <c r="H39" s="140" t="e">
        <f>'Stints List'!$F33/60/1440</f>
        <v>#VALUE!</v>
      </c>
      <c r="I39" s="136"/>
      <c r="J39" s="138" t="e">
        <f t="shared" si="1"/>
        <v>#VALUE!</v>
      </c>
      <c r="K39" s="137"/>
      <c r="L39" s="95"/>
      <c r="M39" s="95"/>
      <c r="N39" s="95"/>
      <c r="O39" s="96"/>
      <c r="P39" s="96"/>
      <c r="Q39" s="98"/>
      <c r="R39" s="90"/>
      <c r="S39" s="91"/>
    </row>
    <row r="40" spans="1:19" ht="18.600000000000001" customHeight="1" x14ac:dyDescent="0.25">
      <c r="A40" s="83"/>
      <c r="B40" s="83"/>
      <c r="C40" s="84">
        <v>33</v>
      </c>
      <c r="D40" s="92"/>
      <c r="E40" s="86"/>
      <c r="F40" s="163" t="e">
        <f>'Stints List'!$K34/60/1440</f>
        <v>#VALUE!</v>
      </c>
      <c r="G40" s="87" t="e">
        <f>'Stints List'!$Q34/60/1440</f>
        <v>#VALUE!</v>
      </c>
      <c r="H40" s="140" t="e">
        <f>'Stints List'!$F34/60/1440</f>
        <v>#VALUE!</v>
      </c>
      <c r="I40" s="136"/>
      <c r="J40" s="138" t="e">
        <f t="shared" si="1"/>
        <v>#VALUE!</v>
      </c>
      <c r="K40" s="137"/>
      <c r="L40" s="95"/>
      <c r="M40" s="95"/>
      <c r="N40" s="95"/>
      <c r="O40" s="96"/>
      <c r="P40" s="96"/>
      <c r="Q40" s="98"/>
      <c r="R40" s="90"/>
      <c r="S40" s="91"/>
    </row>
    <row r="41" spans="1:19" ht="18.600000000000001" customHeight="1" x14ac:dyDescent="0.25">
      <c r="A41" s="83"/>
      <c r="B41" s="83"/>
      <c r="C41" s="84">
        <v>34</v>
      </c>
      <c r="D41" s="92"/>
      <c r="E41" s="86"/>
      <c r="F41" s="163" t="e">
        <f>'Stints List'!$K35/60/1440</f>
        <v>#VALUE!</v>
      </c>
      <c r="G41" s="87" t="e">
        <f>'Stints List'!$Q35/60/1440</f>
        <v>#VALUE!</v>
      </c>
      <c r="H41" s="140" t="e">
        <f>'Stints List'!$F35/60/1440</f>
        <v>#VALUE!</v>
      </c>
      <c r="I41" s="136"/>
      <c r="J41" s="138" t="e">
        <f t="shared" si="1"/>
        <v>#VALUE!</v>
      </c>
      <c r="K41" s="137"/>
      <c r="L41" s="95"/>
      <c r="M41" s="95"/>
      <c r="N41" s="95"/>
      <c r="O41" s="96"/>
      <c r="P41" s="96"/>
      <c r="Q41" s="98"/>
      <c r="R41" s="90"/>
      <c r="S41" s="91"/>
    </row>
    <row r="42" spans="1:19" ht="18.600000000000001" customHeight="1" x14ac:dyDescent="0.25">
      <c r="A42" s="83"/>
      <c r="B42" s="83"/>
      <c r="C42" s="84">
        <v>35</v>
      </c>
      <c r="D42" s="92"/>
      <c r="E42" s="86"/>
      <c r="F42" s="163" t="e">
        <f>'Stints List'!$K36/60/1440</f>
        <v>#VALUE!</v>
      </c>
      <c r="G42" s="87" t="e">
        <f>'Stints List'!$Q36/60/1440</f>
        <v>#VALUE!</v>
      </c>
      <c r="H42" s="140" t="e">
        <f>'Stints List'!$F36/60/1440</f>
        <v>#VALUE!</v>
      </c>
      <c r="I42" s="136"/>
      <c r="J42" s="138" t="e">
        <f t="shared" si="1"/>
        <v>#VALUE!</v>
      </c>
      <c r="K42" s="137"/>
      <c r="L42" s="95"/>
      <c r="M42" s="95"/>
      <c r="N42" s="95"/>
      <c r="O42" s="96"/>
      <c r="P42" s="96"/>
      <c r="Q42" s="98"/>
      <c r="R42" s="90"/>
      <c r="S42" s="91"/>
    </row>
    <row r="43" spans="1:19" ht="18.600000000000001" customHeight="1" x14ac:dyDescent="0.25">
      <c r="A43" s="83"/>
      <c r="B43" s="83"/>
      <c r="C43" s="84">
        <v>36</v>
      </c>
      <c r="D43" s="92"/>
      <c r="E43" s="86"/>
      <c r="F43" s="163" t="e">
        <f>'Stints List'!$K37/60/1440</f>
        <v>#VALUE!</v>
      </c>
      <c r="G43" s="87" t="e">
        <f>'Stints List'!$Q37/60/1440</f>
        <v>#VALUE!</v>
      </c>
      <c r="H43" s="140" t="e">
        <f>'Stints List'!$F37/60/1440</f>
        <v>#VALUE!</v>
      </c>
      <c r="I43" s="136"/>
      <c r="J43" s="138" t="e">
        <f t="shared" si="1"/>
        <v>#VALUE!</v>
      </c>
      <c r="K43" s="137"/>
      <c r="L43" s="95"/>
      <c r="M43" s="95"/>
      <c r="N43" s="95"/>
      <c r="O43" s="96"/>
      <c r="P43" s="96"/>
      <c r="Q43" s="98"/>
      <c r="R43" s="90"/>
      <c r="S43" s="91"/>
    </row>
    <row r="44" spans="1:19" ht="19.149999999999999" customHeight="1" x14ac:dyDescent="0.25">
      <c r="A44" s="78" t="s">
        <v>127</v>
      </c>
      <c r="B44" s="78" t="s">
        <v>128</v>
      </c>
      <c r="C44" s="76" t="s">
        <v>103</v>
      </c>
      <c r="D44" s="77" t="s">
        <v>100</v>
      </c>
      <c r="E44" s="78"/>
      <c r="F44" s="99" t="s">
        <v>129</v>
      </c>
      <c r="G44" s="76" t="s">
        <v>130</v>
      </c>
      <c r="H44" s="76" t="s">
        <v>131</v>
      </c>
      <c r="I44" s="76"/>
      <c r="J44" s="79" t="s">
        <v>132</v>
      </c>
      <c r="K44" s="79" t="s">
        <v>133</v>
      </c>
      <c r="L44" s="77" t="s">
        <v>134</v>
      </c>
      <c r="M44" s="77"/>
      <c r="N44" s="77"/>
      <c r="O44" s="76" t="s">
        <v>135</v>
      </c>
      <c r="P44" s="76" t="s">
        <v>136</v>
      </c>
      <c r="Q44" s="76" t="s">
        <v>137</v>
      </c>
      <c r="R44" s="76" t="s">
        <v>125</v>
      </c>
      <c r="S44" s="76" t="s">
        <v>113</v>
      </c>
    </row>
    <row r="45" spans="1:19" ht="19.149999999999999" customHeight="1" x14ac:dyDescent="0.25">
      <c r="A45" s="83">
        <v>0</v>
      </c>
      <c r="B45" s="83" t="e">
        <f>B35</f>
        <v>#VALUE!</v>
      </c>
      <c r="C45" s="85">
        <v>16</v>
      </c>
      <c r="D45" s="85">
        <f>SUM(D9:D35)</f>
        <v>0</v>
      </c>
      <c r="E45" s="100"/>
      <c r="F45" s="101" t="e">
        <f>SUM(F8:F35)</f>
        <v>#VALUE!</v>
      </c>
      <c r="G45" s="101" t="e">
        <f>SUM(G8:G35)</f>
        <v>#VALUE!</v>
      </c>
      <c r="H45" s="101" t="e">
        <f>SUM(H8:H35)</f>
        <v>#VALUE!</v>
      </c>
      <c r="I45" s="101"/>
      <c r="J45" s="88" t="e">
        <f>SUM(J8:J35)</f>
        <v>#VALUE!</v>
      </c>
      <c r="K45" s="89">
        <v>0.5</v>
      </c>
      <c r="L45" s="102"/>
      <c r="M45" s="95"/>
      <c r="N45" s="95"/>
      <c r="O45" s="103"/>
      <c r="P45" s="103"/>
      <c r="Q45" s="104"/>
      <c r="R45" s="105"/>
      <c r="S45" s="105"/>
    </row>
    <row r="46" spans="1:19" ht="19.149999999999999" customHeight="1" x14ac:dyDescent="0.25">
      <c r="C46" s="56"/>
      <c r="D46" s="56"/>
      <c r="E46" s="56"/>
      <c r="F46" s="56"/>
      <c r="G46" s="56"/>
      <c r="K46" s="107" t="s">
        <v>104</v>
      </c>
    </row>
    <row r="47" spans="1:19" ht="19.149999999999999" customHeight="1" x14ac:dyDescent="0.25">
      <c r="C47" s="56"/>
      <c r="D47" s="56"/>
      <c r="E47" s="170" t="s">
        <v>138</v>
      </c>
      <c r="F47" s="171"/>
      <c r="G47" s="110">
        <v>3.125E-2</v>
      </c>
      <c r="J47" s="56"/>
      <c r="K47" s="111">
        <f>SUM(K8:K22)</f>
        <v>0</v>
      </c>
    </row>
    <row r="48" spans="1:19" ht="19.149999999999999" customHeight="1" x14ac:dyDescent="0.25">
      <c r="E48" s="172" t="s">
        <v>139</v>
      </c>
      <c r="F48" s="172"/>
      <c r="G48" s="110">
        <v>4.1666666666666664E-2</v>
      </c>
    </row>
  </sheetData>
  <mergeCells count="3">
    <mergeCell ref="C3:D3"/>
    <mergeCell ref="E47:F47"/>
    <mergeCell ref="E48:F48"/>
  </mergeCells>
  <phoneticPr fontId="1" type="noConversion"/>
  <dataValidations count="1">
    <dataValidation type="list" allowBlank="1" showInputMessage="1" showErrorMessage="1" sqref="E8:E43" xr:uid="{0390354E-CE9A-4DFA-B853-46CDE9623032}">
      <formula1>$E$1:$I$1</formula1>
    </dataValidation>
  </dataValidations>
  <pageMargins left="0.25" right="0.25" top="0.75" bottom="0.75" header="0.3" footer="0.3"/>
  <pageSetup paperSize="9" scale="57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714C8346-B298-4819-B2F6-888B7541C456}">
            <xm:f>NOT(ISERROR(SEARCH($I$1,E8)))</xm:f>
            <xm:f>$I$1</xm:f>
            <x14:dxf>
              <fill>
                <patternFill>
                  <bgColor theme="0"/>
                </patternFill>
              </fill>
            </x14:dxf>
          </x14:cfRule>
          <x14:cfRule type="containsText" priority="2" operator="containsText" id="{CF33386B-E1D2-4FC4-BAED-83E52803DA51}">
            <xm:f>NOT(ISERROR(SEARCH($H$1,E8)))</xm:f>
            <xm:f>$H$1</xm:f>
            <x14:dxf>
              <fill>
                <patternFill>
                  <bgColor rgb="FF00B050"/>
                </patternFill>
              </fill>
            </x14:dxf>
          </x14:cfRule>
          <x14:cfRule type="containsText" priority="3" operator="containsText" id="{A31920A3-827B-49A3-992A-C329745DB5EC}">
            <xm:f>NOT(ISERROR(SEARCH($G$1,E8)))</xm:f>
            <xm:f>$G$1</xm:f>
            <x14:dxf>
              <fill>
                <patternFill>
                  <bgColor rgb="FFFF0000"/>
                </patternFill>
              </fill>
            </x14:dxf>
          </x14:cfRule>
          <x14:cfRule type="containsText" priority="4" operator="containsText" id="{F71825B9-7D9E-4471-8191-DB76936E4E96}">
            <xm:f>NOT(ISERROR(SEARCH($F$1,E8)))</xm:f>
            <xm:f>$F$1</xm:f>
            <x14:dxf>
              <fill>
                <patternFill>
                  <bgColor rgb="FFFFFF00"/>
                </patternFill>
              </fill>
            </x14:dxf>
          </x14:cfRule>
          <x14:cfRule type="containsText" priority="5" operator="containsText" id="{040A6DE3-C80F-4850-A62A-3C8DB1095C36}">
            <xm:f>NOT(ISERROR(SEARCH($E$1,E8)))</xm:f>
            <xm:f>$E$1</xm:f>
            <x14:dxf>
              <fill>
                <patternFill>
                  <bgColor rgb="FF00B0F0"/>
                </patternFill>
              </fill>
            </x14:dxf>
          </x14:cfRule>
          <xm:sqref>E8:E43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3838C-B7F7-4994-8A55-C574C8F2AAED}">
  <sheetPr codeName="Sheet4"/>
  <dimension ref="A1:AE50"/>
  <sheetViews>
    <sheetView workbookViewId="0">
      <selection activeCell="P2" sqref="P2:P101"/>
    </sheetView>
  </sheetViews>
  <sheetFormatPr baseColWidth="10" defaultColWidth="9.140625" defaultRowHeight="15.75" x14ac:dyDescent="0.25"/>
  <cols>
    <col min="1" max="1" width="9.7109375" style="3" bestFit="1" customWidth="1"/>
    <col min="2" max="2" width="10.42578125" style="3" bestFit="1" customWidth="1"/>
    <col min="3" max="3" width="13.5703125" style="3" bestFit="1" customWidth="1"/>
    <col min="4" max="4" width="9.85546875" style="3" bestFit="1" customWidth="1"/>
    <col min="5" max="5" width="18.140625" style="3" bestFit="1" customWidth="1"/>
    <col min="6" max="6" width="18.85546875" style="3" bestFit="1" customWidth="1"/>
    <col min="7" max="7" width="19" style="3" bestFit="1" customWidth="1"/>
    <col min="8" max="8" width="15.5703125" style="3" bestFit="1" customWidth="1"/>
    <col min="9" max="9" width="9.7109375" style="3" bestFit="1" customWidth="1"/>
    <col min="10" max="10" width="10.28515625" style="5" bestFit="1" customWidth="1"/>
    <col min="11" max="11" width="18.7109375" style="3" bestFit="1" customWidth="1"/>
    <col min="12" max="12" width="18.85546875" style="3" bestFit="1" customWidth="1"/>
    <col min="13" max="17" width="18.85546875" style="3" customWidth="1"/>
    <col min="18" max="18" width="18.7109375" style="5" customWidth="1"/>
    <col min="19" max="31" width="9.140625" style="11"/>
  </cols>
  <sheetData>
    <row r="1" spans="1:21" x14ac:dyDescent="0.25">
      <c r="A1" s="1" t="s">
        <v>4</v>
      </c>
      <c r="B1" s="1" t="s">
        <v>73</v>
      </c>
      <c r="C1" s="1" t="s">
        <v>74</v>
      </c>
      <c r="D1" s="1" t="s">
        <v>64</v>
      </c>
      <c r="E1" s="1" t="s">
        <v>5</v>
      </c>
      <c r="F1" s="1" t="s">
        <v>7</v>
      </c>
      <c r="G1" s="1" t="s">
        <v>6</v>
      </c>
      <c r="H1" s="1" t="s">
        <v>18</v>
      </c>
      <c r="I1" s="1" t="s">
        <v>8</v>
      </c>
      <c r="J1" s="2" t="s">
        <v>37</v>
      </c>
      <c r="K1" s="2" t="s">
        <v>38</v>
      </c>
      <c r="L1" s="2" t="s">
        <v>39</v>
      </c>
      <c r="M1" s="2" t="s">
        <v>69</v>
      </c>
      <c r="N1" s="2" t="s">
        <v>75</v>
      </c>
      <c r="O1" s="2" t="s">
        <v>76</v>
      </c>
      <c r="P1" s="2" t="s">
        <v>70</v>
      </c>
      <c r="Q1" s="2" t="s">
        <v>77</v>
      </c>
      <c r="R1" s="2" t="s">
        <v>78</v>
      </c>
    </row>
    <row r="2" spans="1:21" x14ac:dyDescent="0.25">
      <c r="A2" s="155">
        <v>1</v>
      </c>
      <c r="B2" s="3" t="e">
        <f t="shared" ref="B2:B33" si="0">TEXT( $C2/1440, "hh:mm:ss" )</f>
        <v>#VALUE!</v>
      </c>
      <c r="C2" s="3" t="e">
        <f>('Start Page'!B1*60)-Tableau1[[#This Row],[Stint in minutes]]-Tableau1[[#This Row],[Pit In Minutes]]</f>
        <v>#VALUE!</v>
      </c>
      <c r="E2" s="4"/>
      <c r="F2" s="3" t="str">
        <f t="shared" ref="F2:F50" si="1">IF($I2,"",LEFT($E2,FIND(":",$E2)-1)*60 + RIGHT($E2,LEN($E2)-FIND(":",$E2)))</f>
        <v/>
      </c>
      <c r="G2" s="3" t="str">
        <f t="shared" ref="G2:G50" si="2">IF($I2,"",$F2/60)</f>
        <v/>
      </c>
      <c r="H2" s="3" t="str">
        <f>IFERROR('Calculations v2'!$B$8- ('Start Page'!$B$3 -'Stints List'!$G2),"")</f>
        <v/>
      </c>
      <c r="I2" s="3" t="b">
        <f t="shared" ref="I2:I50" si="3">ISBLANK(E2)</f>
        <v>1</v>
      </c>
      <c r="K2" s="3" t="str">
        <f>IF($I2,"",LEFT($J2,FIND(":",$J2)-1)*60 + RIGHT($J2,LEN($J2)-FIND(":",$J2)))</f>
        <v/>
      </c>
      <c r="L2" s="3" t="str">
        <f>IF($I2,"",$K2/60)</f>
        <v/>
      </c>
      <c r="M2" s="5"/>
      <c r="N2" s="3" t="str">
        <f t="shared" ref="N2:N50" si="4">IF($I2,"",LEFT($M2,FIND(":",$M2)-1)*60 + RIGHT($M2,LEN($M2)-FIND(":",$M2)))</f>
        <v/>
      </c>
      <c r="O2" s="3" t="str">
        <f>IF($I2,"",$N2/60)</f>
        <v/>
      </c>
      <c r="P2" s="5"/>
      <c r="Q2" s="3" t="str">
        <f t="shared" ref="Q2:Q50" si="5">IF($I2,"",LEFT($P2,FIND(":",$P2)-1)*60 + RIGHT($P2,LEN($P2)-FIND(":",$P2)))</f>
        <v/>
      </c>
      <c r="R2" s="3" t="str">
        <f t="shared" ref="R2:R50" si="6">IF($I2,"",$Q2/60)</f>
        <v/>
      </c>
    </row>
    <row r="3" spans="1:21" x14ac:dyDescent="0.25">
      <c r="A3" s="155">
        <v>2</v>
      </c>
      <c r="B3" s="3" t="e">
        <f t="shared" si="0"/>
        <v>#VALUE!</v>
      </c>
      <c r="C3" s="3" t="e">
        <f>C2-Tableau1[[#This Row],[Stint in minutes]]-Tableau1[[#This Row],[Pit In Minutes]]</f>
        <v>#VALUE!</v>
      </c>
      <c r="E3" s="4"/>
      <c r="F3" s="3" t="str">
        <f t="shared" si="1"/>
        <v/>
      </c>
      <c r="G3" s="3" t="str">
        <f t="shared" si="2"/>
        <v/>
      </c>
      <c r="H3" s="3" t="str">
        <f>IFERROR($H2- ('Start Page'!$B$3-'Stints List'!$G3),"")</f>
        <v/>
      </c>
      <c r="I3" s="3" t="b">
        <f t="shared" si="3"/>
        <v>1</v>
      </c>
      <c r="K3" s="3" t="str">
        <f t="shared" ref="K3:K50" si="7">IF($I3,"",LEFT($J3,FIND(":",$J3)-1)*60 + RIGHT($J3,LEN($J3)-FIND(":",$J3)))</f>
        <v/>
      </c>
      <c r="L3" s="3" t="str">
        <f t="shared" ref="L3:L50" si="8">IF($I3,"",$K3/60)</f>
        <v/>
      </c>
      <c r="M3" s="5"/>
      <c r="N3" s="3" t="str">
        <f t="shared" si="4"/>
        <v/>
      </c>
      <c r="O3" s="3" t="str">
        <f t="shared" ref="O3:O50" si="9">IF($I3,"",$N3/60)</f>
        <v/>
      </c>
      <c r="P3" s="5"/>
      <c r="Q3" s="3" t="str">
        <f t="shared" si="5"/>
        <v/>
      </c>
      <c r="R3" s="3" t="str">
        <f t="shared" si="6"/>
        <v/>
      </c>
    </row>
    <row r="4" spans="1:21" x14ac:dyDescent="0.25">
      <c r="A4" s="155">
        <v>3</v>
      </c>
      <c r="B4" s="3" t="e">
        <f t="shared" si="0"/>
        <v>#VALUE!</v>
      </c>
      <c r="C4" s="3" t="e">
        <f>C3-Tableau1[[#This Row],[Stint in minutes]]-Tableau1[[#This Row],[Pit In Minutes]]</f>
        <v>#VALUE!</v>
      </c>
      <c r="E4" s="4"/>
      <c r="F4" s="3" t="str">
        <f t="shared" si="1"/>
        <v/>
      </c>
      <c r="G4" s="3" t="str">
        <f t="shared" si="2"/>
        <v/>
      </c>
      <c r="H4" s="3" t="str">
        <f>IFERROR($H3- ('Start Page'!$B$3-'Stints List'!$G4),"")</f>
        <v/>
      </c>
      <c r="I4" s="3" t="b">
        <f t="shared" si="3"/>
        <v>1</v>
      </c>
      <c r="K4" s="3" t="str">
        <f t="shared" si="7"/>
        <v/>
      </c>
      <c r="L4" s="3" t="str">
        <f t="shared" si="8"/>
        <v/>
      </c>
      <c r="M4" s="5"/>
      <c r="N4" s="3" t="str">
        <f t="shared" si="4"/>
        <v/>
      </c>
      <c r="O4" s="3" t="str">
        <f t="shared" si="9"/>
        <v/>
      </c>
      <c r="P4" s="5"/>
      <c r="Q4" s="3" t="str">
        <f t="shared" si="5"/>
        <v/>
      </c>
      <c r="R4" s="3" t="str">
        <f t="shared" si="6"/>
        <v/>
      </c>
      <c r="T4" s="11">
        <f>SUM(G$1:G$50)</f>
        <v>0</v>
      </c>
      <c r="U4" s="12">
        <f>SUM(L$1:L$50)</f>
        <v>0</v>
      </c>
    </row>
    <row r="5" spans="1:21" x14ac:dyDescent="0.25">
      <c r="A5" s="155">
        <v>4</v>
      </c>
      <c r="B5" s="3" t="e">
        <f t="shared" si="0"/>
        <v>#VALUE!</v>
      </c>
      <c r="C5" s="3" t="e">
        <f>C4-Tableau1[[#This Row],[Stint in minutes]]-Tableau1[[#This Row],[Pit In Minutes]]</f>
        <v>#VALUE!</v>
      </c>
      <c r="E5" s="4"/>
      <c r="F5" s="3" t="str">
        <f t="shared" si="1"/>
        <v/>
      </c>
      <c r="G5" s="3" t="str">
        <f t="shared" si="2"/>
        <v/>
      </c>
      <c r="H5" s="3" t="str">
        <f>IFERROR($H4- ('Start Page'!$B$3-'Stints List'!$G5),"")</f>
        <v/>
      </c>
      <c r="I5" s="3" t="b">
        <f t="shared" si="3"/>
        <v>1</v>
      </c>
      <c r="K5" s="3" t="str">
        <f t="shared" si="7"/>
        <v/>
      </c>
      <c r="L5" s="3" t="str">
        <f t="shared" si="8"/>
        <v/>
      </c>
      <c r="M5" s="5"/>
      <c r="N5" s="3" t="str">
        <f t="shared" si="4"/>
        <v/>
      </c>
      <c r="O5" s="3" t="str">
        <f t="shared" si="9"/>
        <v/>
      </c>
      <c r="P5" s="5"/>
      <c r="Q5" s="3" t="str">
        <f t="shared" si="5"/>
        <v/>
      </c>
      <c r="R5" s="3" t="str">
        <f t="shared" si="6"/>
        <v/>
      </c>
    </row>
    <row r="6" spans="1:21" x14ac:dyDescent="0.25">
      <c r="A6" s="155">
        <v>5</v>
      </c>
      <c r="B6" s="3" t="e">
        <f t="shared" si="0"/>
        <v>#VALUE!</v>
      </c>
      <c r="C6" s="3" t="e">
        <f>C5-Tableau1[[#This Row],[Stint in minutes]]-Tableau1[[#This Row],[Pit In Minutes]]</f>
        <v>#VALUE!</v>
      </c>
      <c r="E6" s="4"/>
      <c r="F6" s="3" t="str">
        <f t="shared" si="1"/>
        <v/>
      </c>
      <c r="G6" s="3" t="str">
        <f t="shared" si="2"/>
        <v/>
      </c>
      <c r="H6" s="3" t="str">
        <f>IFERROR($H5- ('Start Page'!$B$3-'Stints List'!$G6),"")</f>
        <v/>
      </c>
      <c r="I6" s="3" t="b">
        <f t="shared" si="3"/>
        <v>1</v>
      </c>
      <c r="K6" s="3" t="str">
        <f t="shared" si="7"/>
        <v/>
      </c>
      <c r="L6" s="3" t="str">
        <f t="shared" si="8"/>
        <v/>
      </c>
      <c r="M6" s="5"/>
      <c r="N6" s="3" t="str">
        <f t="shared" si="4"/>
        <v/>
      </c>
      <c r="O6" s="3" t="str">
        <f t="shared" si="9"/>
        <v/>
      </c>
      <c r="P6" s="5"/>
      <c r="Q6" s="3" t="str">
        <f t="shared" si="5"/>
        <v/>
      </c>
      <c r="R6" s="3" t="str">
        <f t="shared" si="6"/>
        <v/>
      </c>
    </row>
    <row r="7" spans="1:21" x14ac:dyDescent="0.25">
      <c r="A7" s="155">
        <v>6</v>
      </c>
      <c r="B7" s="3" t="e">
        <f t="shared" si="0"/>
        <v>#VALUE!</v>
      </c>
      <c r="C7" s="3" t="e">
        <f>C6-Tableau1[[#This Row],[Stint in minutes]]-Tableau1[[#This Row],[Pit In Minutes]]</f>
        <v>#VALUE!</v>
      </c>
      <c r="E7" s="4"/>
      <c r="F7" s="3" t="str">
        <f t="shared" si="1"/>
        <v/>
      </c>
      <c r="G7" s="3" t="str">
        <f t="shared" si="2"/>
        <v/>
      </c>
      <c r="H7" s="3" t="str">
        <f>IFERROR($H6- ('Start Page'!$B$3-'Stints List'!$G7),"")</f>
        <v/>
      </c>
      <c r="I7" s="3" t="b">
        <f t="shared" si="3"/>
        <v>1</v>
      </c>
      <c r="K7" s="3" t="str">
        <f t="shared" si="7"/>
        <v/>
      </c>
      <c r="L7" s="3" t="str">
        <f t="shared" si="8"/>
        <v/>
      </c>
      <c r="M7" s="5"/>
      <c r="N7" s="3" t="str">
        <f t="shared" si="4"/>
        <v/>
      </c>
      <c r="O7" s="3" t="str">
        <f t="shared" si="9"/>
        <v/>
      </c>
      <c r="P7" s="5"/>
      <c r="Q7" s="3" t="str">
        <f t="shared" si="5"/>
        <v/>
      </c>
      <c r="R7" s="3" t="str">
        <f t="shared" si="6"/>
        <v/>
      </c>
    </row>
    <row r="8" spans="1:21" x14ac:dyDescent="0.25">
      <c r="A8" s="155">
        <v>7</v>
      </c>
      <c r="B8" s="3" t="e">
        <f t="shared" si="0"/>
        <v>#VALUE!</v>
      </c>
      <c r="C8" s="3" t="e">
        <f>C7-Tableau1[[#This Row],[Stint in minutes]]-Tableau1[[#This Row],[Pit In Minutes]]</f>
        <v>#VALUE!</v>
      </c>
      <c r="E8" s="4"/>
      <c r="F8" s="3" t="str">
        <f t="shared" si="1"/>
        <v/>
      </c>
      <c r="G8" s="3" t="str">
        <f t="shared" si="2"/>
        <v/>
      </c>
      <c r="H8" s="3" t="str">
        <f>IFERROR($H7- ('Start Page'!$B$3-'Stints List'!$G8),"")</f>
        <v/>
      </c>
      <c r="I8" s="3" t="b">
        <f t="shared" si="3"/>
        <v>1</v>
      </c>
      <c r="K8" s="3" t="str">
        <f t="shared" si="7"/>
        <v/>
      </c>
      <c r="L8" s="3" t="str">
        <f t="shared" si="8"/>
        <v/>
      </c>
      <c r="M8" s="5"/>
      <c r="N8" s="3" t="str">
        <f t="shared" si="4"/>
        <v/>
      </c>
      <c r="O8" s="3" t="str">
        <f t="shared" si="9"/>
        <v/>
      </c>
      <c r="P8" s="5"/>
      <c r="Q8" s="3" t="str">
        <f t="shared" si="5"/>
        <v/>
      </c>
      <c r="R8" s="3" t="str">
        <f t="shared" si="6"/>
        <v/>
      </c>
    </row>
    <row r="9" spans="1:21" x14ac:dyDescent="0.25">
      <c r="A9" s="155">
        <v>8</v>
      </c>
      <c r="B9" s="3" t="e">
        <f t="shared" si="0"/>
        <v>#VALUE!</v>
      </c>
      <c r="C9" s="3" t="e">
        <f>C8-Tableau1[[#This Row],[Stint in minutes]]-Tableau1[[#This Row],[Pit In Minutes]]</f>
        <v>#VALUE!</v>
      </c>
      <c r="E9" s="4"/>
      <c r="F9" s="3" t="str">
        <f t="shared" si="1"/>
        <v/>
      </c>
      <c r="G9" s="3" t="str">
        <f t="shared" si="2"/>
        <v/>
      </c>
      <c r="H9" s="3" t="str">
        <f>IFERROR($H8- ('Start Page'!$B$3-'Stints List'!$G9),"")</f>
        <v/>
      </c>
      <c r="I9" s="3" t="b">
        <f t="shared" si="3"/>
        <v>1</v>
      </c>
      <c r="K9" s="3" t="str">
        <f t="shared" si="7"/>
        <v/>
      </c>
      <c r="L9" s="3" t="str">
        <f t="shared" si="8"/>
        <v/>
      </c>
      <c r="M9" s="5"/>
      <c r="N9" s="3" t="str">
        <f t="shared" si="4"/>
        <v/>
      </c>
      <c r="O9" s="3" t="str">
        <f t="shared" si="9"/>
        <v/>
      </c>
      <c r="P9" s="5"/>
      <c r="Q9" s="3" t="str">
        <f t="shared" si="5"/>
        <v/>
      </c>
      <c r="R9" s="3" t="str">
        <f t="shared" si="6"/>
        <v/>
      </c>
    </row>
    <row r="10" spans="1:21" x14ac:dyDescent="0.25">
      <c r="A10" s="155">
        <v>9</v>
      </c>
      <c r="B10" s="3" t="e">
        <f t="shared" si="0"/>
        <v>#VALUE!</v>
      </c>
      <c r="C10" s="3" t="e">
        <f>C9-Tableau1[[#This Row],[Stint in minutes]]-Tableau1[[#This Row],[Pit In Minutes]]</f>
        <v>#VALUE!</v>
      </c>
      <c r="E10" s="4"/>
      <c r="F10" s="3" t="str">
        <f t="shared" si="1"/>
        <v/>
      </c>
      <c r="G10" s="3" t="str">
        <f t="shared" si="2"/>
        <v/>
      </c>
      <c r="H10" s="3" t="str">
        <f>IFERROR($H9- ('Start Page'!$B$3-'Stints List'!$G10),"")</f>
        <v/>
      </c>
      <c r="I10" s="3" t="b">
        <f t="shared" si="3"/>
        <v>1</v>
      </c>
      <c r="K10" s="3" t="str">
        <f t="shared" si="7"/>
        <v/>
      </c>
      <c r="L10" s="3" t="str">
        <f t="shared" si="8"/>
        <v/>
      </c>
      <c r="M10" s="5"/>
      <c r="N10" s="3" t="str">
        <f t="shared" si="4"/>
        <v/>
      </c>
      <c r="O10" s="3" t="str">
        <f t="shared" si="9"/>
        <v/>
      </c>
      <c r="P10" s="5"/>
      <c r="Q10" s="3" t="str">
        <f t="shared" si="5"/>
        <v/>
      </c>
      <c r="R10" s="3" t="str">
        <f t="shared" si="6"/>
        <v/>
      </c>
    </row>
    <row r="11" spans="1:21" x14ac:dyDescent="0.25">
      <c r="A11" s="155">
        <v>10</v>
      </c>
      <c r="B11" s="3" t="e">
        <f t="shared" si="0"/>
        <v>#VALUE!</v>
      </c>
      <c r="C11" s="3" t="e">
        <f>C10-Tableau1[[#This Row],[Stint in minutes]]-Tableau1[[#This Row],[Pit In Minutes]]</f>
        <v>#VALUE!</v>
      </c>
      <c r="E11" s="4"/>
      <c r="F11" s="3" t="str">
        <f t="shared" si="1"/>
        <v/>
      </c>
      <c r="G11" s="3" t="str">
        <f t="shared" si="2"/>
        <v/>
      </c>
      <c r="H11" s="3" t="str">
        <f>IFERROR($H10- ('Start Page'!$B$3-'Stints List'!$G11),"")</f>
        <v/>
      </c>
      <c r="I11" s="3" t="b">
        <f t="shared" si="3"/>
        <v>1</v>
      </c>
      <c r="K11" s="3" t="str">
        <f t="shared" si="7"/>
        <v/>
      </c>
      <c r="L11" s="3" t="str">
        <f t="shared" si="8"/>
        <v/>
      </c>
      <c r="M11" s="5"/>
      <c r="N11" s="3" t="str">
        <f t="shared" si="4"/>
        <v/>
      </c>
      <c r="O11" s="3" t="str">
        <f t="shared" si="9"/>
        <v/>
      </c>
      <c r="P11" s="5"/>
      <c r="Q11" s="3" t="str">
        <f t="shared" si="5"/>
        <v/>
      </c>
      <c r="R11" s="3" t="str">
        <f t="shared" si="6"/>
        <v/>
      </c>
    </row>
    <row r="12" spans="1:21" x14ac:dyDescent="0.25">
      <c r="A12" s="155">
        <v>11</v>
      </c>
      <c r="B12" s="3" t="e">
        <f t="shared" si="0"/>
        <v>#VALUE!</v>
      </c>
      <c r="C12" s="3" t="e">
        <f>C11-Tableau1[[#This Row],[Stint in minutes]]-Tableau1[[#This Row],[Pit In Minutes]]</f>
        <v>#VALUE!</v>
      </c>
      <c r="E12" s="4"/>
      <c r="F12" s="3" t="str">
        <f t="shared" si="1"/>
        <v/>
      </c>
      <c r="G12" s="3" t="str">
        <f t="shared" si="2"/>
        <v/>
      </c>
      <c r="H12" s="3" t="str">
        <f>IFERROR($H11- ('Start Page'!$B$3-'Stints List'!$G12),"")</f>
        <v/>
      </c>
      <c r="I12" s="3" t="b">
        <f t="shared" si="3"/>
        <v>1</v>
      </c>
      <c r="K12" s="3" t="str">
        <f t="shared" si="7"/>
        <v/>
      </c>
      <c r="L12" s="3" t="str">
        <f t="shared" si="8"/>
        <v/>
      </c>
      <c r="M12" s="5"/>
      <c r="N12" s="3" t="str">
        <f t="shared" si="4"/>
        <v/>
      </c>
      <c r="O12" s="3" t="str">
        <f t="shared" si="9"/>
        <v/>
      </c>
      <c r="P12" s="5"/>
      <c r="Q12" s="3" t="str">
        <f t="shared" si="5"/>
        <v/>
      </c>
      <c r="R12" s="3" t="str">
        <f t="shared" si="6"/>
        <v/>
      </c>
    </row>
    <row r="13" spans="1:21" x14ac:dyDescent="0.25">
      <c r="A13" s="155">
        <v>12</v>
      </c>
      <c r="B13" s="3" t="e">
        <f t="shared" si="0"/>
        <v>#VALUE!</v>
      </c>
      <c r="C13" s="3" t="e">
        <f>C12-Tableau1[[#This Row],[Stint in minutes]]-Tableau1[[#This Row],[Pit In Minutes]]</f>
        <v>#VALUE!</v>
      </c>
      <c r="E13" s="4"/>
      <c r="F13" s="3" t="str">
        <f t="shared" si="1"/>
        <v/>
      </c>
      <c r="G13" s="3" t="str">
        <f t="shared" si="2"/>
        <v/>
      </c>
      <c r="H13" s="3" t="str">
        <f>IFERROR($H12- ('Start Page'!$B$3-'Stints List'!$G13),"")</f>
        <v/>
      </c>
      <c r="I13" s="3" t="b">
        <f t="shared" si="3"/>
        <v>1</v>
      </c>
      <c r="K13" s="3" t="str">
        <f t="shared" si="7"/>
        <v/>
      </c>
      <c r="L13" s="3" t="str">
        <f t="shared" si="8"/>
        <v/>
      </c>
      <c r="M13" s="5"/>
      <c r="N13" s="3" t="str">
        <f t="shared" si="4"/>
        <v/>
      </c>
      <c r="O13" s="3" t="str">
        <f t="shared" si="9"/>
        <v/>
      </c>
      <c r="P13" s="5"/>
      <c r="Q13" s="3" t="str">
        <f t="shared" si="5"/>
        <v/>
      </c>
      <c r="R13" s="3" t="str">
        <f t="shared" si="6"/>
        <v/>
      </c>
    </row>
    <row r="14" spans="1:21" x14ac:dyDescent="0.25">
      <c r="A14" s="155">
        <v>13</v>
      </c>
      <c r="B14" s="3" t="e">
        <f t="shared" si="0"/>
        <v>#VALUE!</v>
      </c>
      <c r="C14" s="3" t="e">
        <f>C13-Tableau1[[#This Row],[Stint in minutes]]-Tableau1[[#This Row],[Pit In Minutes]]</f>
        <v>#VALUE!</v>
      </c>
      <c r="E14" s="4"/>
      <c r="F14" s="3" t="str">
        <f t="shared" si="1"/>
        <v/>
      </c>
      <c r="G14" s="3" t="str">
        <f t="shared" si="2"/>
        <v/>
      </c>
      <c r="H14" s="3" t="str">
        <f>IFERROR($H13- ('Start Page'!$B$3-'Stints List'!$G14),"")</f>
        <v/>
      </c>
      <c r="I14" s="3" t="b">
        <f t="shared" si="3"/>
        <v>1</v>
      </c>
      <c r="K14" s="3" t="str">
        <f t="shared" si="7"/>
        <v/>
      </c>
      <c r="L14" s="3" t="str">
        <f t="shared" si="8"/>
        <v/>
      </c>
      <c r="M14" s="5"/>
      <c r="N14" s="3" t="str">
        <f t="shared" si="4"/>
        <v/>
      </c>
      <c r="O14" s="3" t="str">
        <f t="shared" si="9"/>
        <v/>
      </c>
      <c r="P14" s="5"/>
      <c r="Q14" s="3" t="str">
        <f t="shared" si="5"/>
        <v/>
      </c>
      <c r="R14" s="3" t="str">
        <f t="shared" si="6"/>
        <v/>
      </c>
    </row>
    <row r="15" spans="1:21" x14ac:dyDescent="0.25">
      <c r="A15" s="155">
        <v>14</v>
      </c>
      <c r="B15" s="3" t="e">
        <f t="shared" si="0"/>
        <v>#VALUE!</v>
      </c>
      <c r="C15" s="3" t="e">
        <f>C14-Tableau1[[#This Row],[Stint in minutes]]-Tableau1[[#This Row],[Pit In Minutes]]</f>
        <v>#VALUE!</v>
      </c>
      <c r="E15" s="4"/>
      <c r="F15" s="3" t="str">
        <f t="shared" si="1"/>
        <v/>
      </c>
      <c r="G15" s="3" t="str">
        <f t="shared" si="2"/>
        <v/>
      </c>
      <c r="H15" s="3" t="str">
        <f>IFERROR($H14- ('Start Page'!$B$3-'Stints List'!$G15),"")</f>
        <v/>
      </c>
      <c r="I15" s="3" t="b">
        <f t="shared" si="3"/>
        <v>1</v>
      </c>
      <c r="K15" s="3" t="str">
        <f t="shared" si="7"/>
        <v/>
      </c>
      <c r="L15" s="3" t="str">
        <f t="shared" si="8"/>
        <v/>
      </c>
      <c r="M15" s="5"/>
      <c r="N15" s="3" t="str">
        <f t="shared" si="4"/>
        <v/>
      </c>
      <c r="O15" s="3" t="str">
        <f t="shared" si="9"/>
        <v/>
      </c>
      <c r="P15" s="5"/>
      <c r="Q15" s="3" t="str">
        <f t="shared" si="5"/>
        <v/>
      </c>
      <c r="R15" s="3" t="str">
        <f t="shared" si="6"/>
        <v/>
      </c>
    </row>
    <row r="16" spans="1:21" x14ac:dyDescent="0.25">
      <c r="A16" s="155">
        <v>15</v>
      </c>
      <c r="B16" s="3" t="e">
        <f t="shared" si="0"/>
        <v>#VALUE!</v>
      </c>
      <c r="C16" s="3" t="e">
        <f>C15-Tableau1[[#This Row],[Stint in minutes]]-Tableau1[[#This Row],[Pit In Minutes]]</f>
        <v>#VALUE!</v>
      </c>
      <c r="E16" s="4"/>
      <c r="F16" s="3" t="str">
        <f t="shared" si="1"/>
        <v/>
      </c>
      <c r="G16" s="3" t="str">
        <f t="shared" si="2"/>
        <v/>
      </c>
      <c r="H16" s="3" t="str">
        <f>IFERROR($H15- ('Start Page'!$B$3-'Stints List'!$G16),"")</f>
        <v/>
      </c>
      <c r="I16" s="3" t="b">
        <f t="shared" si="3"/>
        <v>1</v>
      </c>
      <c r="K16" s="3" t="str">
        <f t="shared" si="7"/>
        <v/>
      </c>
      <c r="L16" s="3" t="str">
        <f t="shared" si="8"/>
        <v/>
      </c>
      <c r="M16" s="5"/>
      <c r="N16" s="3" t="str">
        <f t="shared" si="4"/>
        <v/>
      </c>
      <c r="O16" s="3" t="str">
        <f t="shared" si="9"/>
        <v/>
      </c>
      <c r="P16" s="5"/>
      <c r="Q16" s="3" t="str">
        <f t="shared" si="5"/>
        <v/>
      </c>
      <c r="R16" s="3" t="str">
        <f t="shared" si="6"/>
        <v/>
      </c>
    </row>
    <row r="17" spans="1:18" x14ac:dyDescent="0.25">
      <c r="A17" s="155">
        <v>16</v>
      </c>
      <c r="B17" s="3" t="e">
        <f t="shared" si="0"/>
        <v>#VALUE!</v>
      </c>
      <c r="C17" s="3" t="e">
        <f>C16-Tableau1[[#This Row],[Stint in minutes]]-Tableau1[[#This Row],[Pit In Minutes]]</f>
        <v>#VALUE!</v>
      </c>
      <c r="E17" s="4"/>
      <c r="F17" s="3" t="str">
        <f t="shared" si="1"/>
        <v/>
      </c>
      <c r="G17" s="3" t="str">
        <f t="shared" si="2"/>
        <v/>
      </c>
      <c r="H17" s="3" t="str">
        <f>IFERROR($H16- ('Start Page'!$B$3-'Stints List'!$G17),"")</f>
        <v/>
      </c>
      <c r="I17" s="3" t="b">
        <f t="shared" ref="I17:I24" si="10">ISBLANK(E17)</f>
        <v>1</v>
      </c>
      <c r="K17" s="3" t="str">
        <f t="shared" si="7"/>
        <v/>
      </c>
      <c r="L17" s="3" t="str">
        <f t="shared" si="8"/>
        <v/>
      </c>
      <c r="M17" s="5"/>
      <c r="N17" s="3" t="str">
        <f t="shared" si="4"/>
        <v/>
      </c>
      <c r="O17" s="3" t="str">
        <f t="shared" si="9"/>
        <v/>
      </c>
      <c r="P17" s="5"/>
      <c r="Q17" s="3" t="str">
        <f t="shared" si="5"/>
        <v/>
      </c>
      <c r="R17" s="3" t="str">
        <f t="shared" si="6"/>
        <v/>
      </c>
    </row>
    <row r="18" spans="1:18" x14ac:dyDescent="0.25">
      <c r="A18" s="155">
        <v>17</v>
      </c>
      <c r="B18" s="3" t="e">
        <f t="shared" si="0"/>
        <v>#VALUE!</v>
      </c>
      <c r="C18" s="3" t="e">
        <f>C17-Tableau1[[#This Row],[Stint in minutes]]-Tableau1[[#This Row],[Pit In Minutes]]</f>
        <v>#VALUE!</v>
      </c>
      <c r="E18" s="4"/>
      <c r="F18" s="3" t="str">
        <f t="shared" si="1"/>
        <v/>
      </c>
      <c r="G18" s="3" t="str">
        <f t="shared" si="2"/>
        <v/>
      </c>
      <c r="H18" s="3" t="str">
        <f>IFERROR($H17- ('Start Page'!$B$3-'Stints List'!$G18),"")</f>
        <v/>
      </c>
      <c r="I18" s="3" t="b">
        <f t="shared" si="10"/>
        <v>1</v>
      </c>
      <c r="K18" s="3" t="str">
        <f t="shared" si="7"/>
        <v/>
      </c>
      <c r="L18" s="3" t="str">
        <f t="shared" si="8"/>
        <v/>
      </c>
      <c r="M18" s="5"/>
      <c r="N18" s="3" t="str">
        <f t="shared" si="4"/>
        <v/>
      </c>
      <c r="O18" s="3" t="str">
        <f t="shared" si="9"/>
        <v/>
      </c>
      <c r="P18" s="5"/>
      <c r="Q18" s="3" t="str">
        <f t="shared" si="5"/>
        <v/>
      </c>
      <c r="R18" s="3" t="str">
        <f t="shared" si="6"/>
        <v/>
      </c>
    </row>
    <row r="19" spans="1:18" x14ac:dyDescent="0.25">
      <c r="A19" s="155">
        <v>18</v>
      </c>
      <c r="B19" s="3" t="e">
        <f t="shared" si="0"/>
        <v>#VALUE!</v>
      </c>
      <c r="C19" s="3" t="e">
        <f>C18-Tableau1[[#This Row],[Stint in minutes]]-Tableau1[[#This Row],[Pit In Minutes]]</f>
        <v>#VALUE!</v>
      </c>
      <c r="E19" s="4"/>
      <c r="F19" s="3" t="str">
        <f t="shared" si="1"/>
        <v/>
      </c>
      <c r="G19" s="3" t="str">
        <f t="shared" si="2"/>
        <v/>
      </c>
      <c r="H19" s="3" t="str">
        <f>IFERROR($H18- ('Start Page'!$B$3-'Stints List'!$G19),"")</f>
        <v/>
      </c>
      <c r="I19" s="3" t="b">
        <f t="shared" si="10"/>
        <v>1</v>
      </c>
      <c r="K19" s="3" t="str">
        <f t="shared" si="7"/>
        <v/>
      </c>
      <c r="L19" s="3" t="str">
        <f t="shared" si="8"/>
        <v/>
      </c>
      <c r="M19" s="5"/>
      <c r="N19" s="3" t="str">
        <f t="shared" si="4"/>
        <v/>
      </c>
      <c r="O19" s="3" t="str">
        <f t="shared" si="9"/>
        <v/>
      </c>
      <c r="P19" s="5"/>
      <c r="Q19" s="3" t="str">
        <f t="shared" si="5"/>
        <v/>
      </c>
      <c r="R19" s="3" t="str">
        <f t="shared" si="6"/>
        <v/>
      </c>
    </row>
    <row r="20" spans="1:18" x14ac:dyDescent="0.25">
      <c r="A20" s="155">
        <v>19</v>
      </c>
      <c r="B20" s="3" t="e">
        <f t="shared" si="0"/>
        <v>#VALUE!</v>
      </c>
      <c r="C20" s="3" t="e">
        <f>C19-Tableau1[[#This Row],[Stint in minutes]]-Tableau1[[#This Row],[Pit In Minutes]]</f>
        <v>#VALUE!</v>
      </c>
      <c r="E20" s="4"/>
      <c r="F20" s="3" t="str">
        <f t="shared" si="1"/>
        <v/>
      </c>
      <c r="G20" s="3" t="str">
        <f t="shared" si="2"/>
        <v/>
      </c>
      <c r="H20" s="3" t="str">
        <f>IFERROR($H19- ('Start Page'!$B$3-'Stints List'!$G20),"")</f>
        <v/>
      </c>
      <c r="I20" s="3" t="b">
        <f t="shared" si="10"/>
        <v>1</v>
      </c>
      <c r="K20" s="3" t="str">
        <f t="shared" si="7"/>
        <v/>
      </c>
      <c r="L20" s="3" t="str">
        <f t="shared" si="8"/>
        <v/>
      </c>
      <c r="M20" s="5"/>
      <c r="N20" s="3" t="str">
        <f t="shared" si="4"/>
        <v/>
      </c>
      <c r="O20" s="3" t="str">
        <f t="shared" si="9"/>
        <v/>
      </c>
      <c r="P20" s="5"/>
      <c r="Q20" s="3" t="str">
        <f t="shared" si="5"/>
        <v/>
      </c>
      <c r="R20" s="3" t="str">
        <f t="shared" si="6"/>
        <v/>
      </c>
    </row>
    <row r="21" spans="1:18" x14ac:dyDescent="0.25">
      <c r="A21" s="155">
        <v>20</v>
      </c>
      <c r="B21" s="3" t="e">
        <f t="shared" si="0"/>
        <v>#VALUE!</v>
      </c>
      <c r="C21" s="3" t="e">
        <f>C20-Tableau1[[#This Row],[Stint in minutes]]-Tableau1[[#This Row],[Pit In Minutes]]</f>
        <v>#VALUE!</v>
      </c>
      <c r="E21" s="4"/>
      <c r="F21" s="3" t="str">
        <f t="shared" si="1"/>
        <v/>
      </c>
      <c r="G21" s="3" t="str">
        <f t="shared" si="2"/>
        <v/>
      </c>
      <c r="H21" s="3" t="str">
        <f>IFERROR($H20- ('Start Page'!$B$3-'Stints List'!$G21),"")</f>
        <v/>
      </c>
      <c r="I21" s="3" t="b">
        <f t="shared" si="10"/>
        <v>1</v>
      </c>
      <c r="K21" s="3" t="str">
        <f t="shared" si="7"/>
        <v/>
      </c>
      <c r="L21" s="3" t="str">
        <f t="shared" si="8"/>
        <v/>
      </c>
      <c r="M21" s="5"/>
      <c r="N21" s="3" t="str">
        <f t="shared" si="4"/>
        <v/>
      </c>
      <c r="O21" s="3" t="str">
        <f t="shared" si="9"/>
        <v/>
      </c>
      <c r="P21" s="5"/>
      <c r="Q21" s="3" t="str">
        <f t="shared" si="5"/>
        <v/>
      </c>
      <c r="R21" s="3" t="str">
        <f t="shared" si="6"/>
        <v/>
      </c>
    </row>
    <row r="22" spans="1:18" x14ac:dyDescent="0.25">
      <c r="A22" s="155">
        <v>21</v>
      </c>
      <c r="B22" s="3" t="e">
        <f t="shared" si="0"/>
        <v>#VALUE!</v>
      </c>
      <c r="C22" s="3" t="e">
        <f>C21-Tableau1[[#This Row],[Stint in minutes]]-Tableau1[[#This Row],[Pit In Minutes]]</f>
        <v>#VALUE!</v>
      </c>
      <c r="E22" s="4"/>
      <c r="F22" s="3" t="str">
        <f t="shared" si="1"/>
        <v/>
      </c>
      <c r="G22" s="3" t="str">
        <f t="shared" si="2"/>
        <v/>
      </c>
      <c r="H22" s="3" t="str">
        <f>IFERROR($H21- ('Start Page'!$B$3-'Stints List'!$G22),"")</f>
        <v/>
      </c>
      <c r="I22" s="3" t="b">
        <f t="shared" si="10"/>
        <v>1</v>
      </c>
      <c r="K22" s="3" t="str">
        <f t="shared" si="7"/>
        <v/>
      </c>
      <c r="L22" s="3" t="str">
        <f t="shared" si="8"/>
        <v/>
      </c>
      <c r="M22" s="5"/>
      <c r="N22" s="3" t="str">
        <f t="shared" si="4"/>
        <v/>
      </c>
      <c r="O22" s="3" t="str">
        <f t="shared" si="9"/>
        <v/>
      </c>
      <c r="P22" s="5"/>
      <c r="Q22" s="3" t="str">
        <f t="shared" si="5"/>
        <v/>
      </c>
      <c r="R22" s="3" t="str">
        <f t="shared" si="6"/>
        <v/>
      </c>
    </row>
    <row r="23" spans="1:18" x14ac:dyDescent="0.25">
      <c r="A23" s="155">
        <v>22</v>
      </c>
      <c r="B23" s="3" t="e">
        <f t="shared" si="0"/>
        <v>#VALUE!</v>
      </c>
      <c r="C23" s="3" t="e">
        <f>C22-Tableau1[[#This Row],[Stint in minutes]]-Tableau1[[#This Row],[Pit In Minutes]]</f>
        <v>#VALUE!</v>
      </c>
      <c r="E23" s="4"/>
      <c r="F23" s="3" t="str">
        <f t="shared" si="1"/>
        <v/>
      </c>
      <c r="G23" s="3" t="str">
        <f t="shared" si="2"/>
        <v/>
      </c>
      <c r="H23" s="3" t="str">
        <f>IFERROR($H22- ('Start Page'!$B$3-'Stints List'!$G23),"")</f>
        <v/>
      </c>
      <c r="I23" s="3" t="b">
        <f t="shared" si="10"/>
        <v>1</v>
      </c>
      <c r="K23" s="3" t="str">
        <f t="shared" si="7"/>
        <v/>
      </c>
      <c r="L23" s="3" t="str">
        <f t="shared" si="8"/>
        <v/>
      </c>
      <c r="M23" s="5"/>
      <c r="N23" s="3" t="str">
        <f t="shared" si="4"/>
        <v/>
      </c>
      <c r="O23" s="3" t="str">
        <f t="shared" si="9"/>
        <v/>
      </c>
      <c r="P23" s="5"/>
      <c r="Q23" s="3" t="str">
        <f t="shared" si="5"/>
        <v/>
      </c>
      <c r="R23" s="3" t="str">
        <f t="shared" si="6"/>
        <v/>
      </c>
    </row>
    <row r="24" spans="1:18" x14ac:dyDescent="0.25">
      <c r="A24" s="155">
        <v>23</v>
      </c>
      <c r="B24" s="3" t="e">
        <f t="shared" si="0"/>
        <v>#VALUE!</v>
      </c>
      <c r="C24" s="3" t="e">
        <f>C23-Tableau1[[#This Row],[Stint in minutes]]-Tableau1[[#This Row],[Pit In Minutes]]</f>
        <v>#VALUE!</v>
      </c>
      <c r="E24" s="4"/>
      <c r="F24" s="3" t="str">
        <f t="shared" si="1"/>
        <v/>
      </c>
      <c r="G24" s="3" t="str">
        <f t="shared" si="2"/>
        <v/>
      </c>
      <c r="H24" s="3" t="str">
        <f>IFERROR($H23- ('Start Page'!$B$3-'Stints List'!$G24),"")</f>
        <v/>
      </c>
      <c r="I24" s="3" t="b">
        <f t="shared" si="10"/>
        <v>1</v>
      </c>
      <c r="K24" s="3" t="str">
        <f t="shared" si="7"/>
        <v/>
      </c>
      <c r="L24" s="3" t="str">
        <f t="shared" si="8"/>
        <v/>
      </c>
      <c r="M24" s="5"/>
      <c r="N24" s="3" t="str">
        <f t="shared" si="4"/>
        <v/>
      </c>
      <c r="O24" s="3" t="str">
        <f t="shared" si="9"/>
        <v/>
      </c>
      <c r="P24" s="5"/>
      <c r="Q24" s="3" t="str">
        <f t="shared" si="5"/>
        <v/>
      </c>
      <c r="R24" s="3" t="str">
        <f t="shared" si="6"/>
        <v/>
      </c>
    </row>
    <row r="25" spans="1:18" x14ac:dyDescent="0.25">
      <c r="A25" s="155">
        <v>24</v>
      </c>
      <c r="B25" s="3" t="e">
        <f t="shared" si="0"/>
        <v>#VALUE!</v>
      </c>
      <c r="C25" s="3" t="e">
        <f>C24-Tableau1[[#This Row],[Stint in minutes]]-Tableau1[[#This Row],[Pit In Minutes]]</f>
        <v>#VALUE!</v>
      </c>
      <c r="E25" s="4"/>
      <c r="F25" s="3" t="str">
        <f t="shared" si="1"/>
        <v/>
      </c>
      <c r="G25" s="3" t="str">
        <f t="shared" si="2"/>
        <v/>
      </c>
      <c r="H25" s="3" t="str">
        <f>IFERROR($H24- ('Start Page'!$B$3-'Stints List'!$G25),"")</f>
        <v/>
      </c>
      <c r="I25" s="3" t="b">
        <f>ISBLANK(E25)</f>
        <v>1</v>
      </c>
      <c r="K25" s="3" t="str">
        <f t="shared" si="7"/>
        <v/>
      </c>
      <c r="L25" s="3" t="str">
        <f t="shared" si="8"/>
        <v/>
      </c>
      <c r="M25" s="5"/>
      <c r="N25" s="3" t="str">
        <f t="shared" si="4"/>
        <v/>
      </c>
      <c r="O25" s="3" t="str">
        <f t="shared" si="9"/>
        <v/>
      </c>
      <c r="P25" s="5"/>
      <c r="Q25" s="3" t="str">
        <f t="shared" si="5"/>
        <v/>
      </c>
      <c r="R25" s="3" t="str">
        <f t="shared" si="6"/>
        <v/>
      </c>
    </row>
    <row r="26" spans="1:18" x14ac:dyDescent="0.25">
      <c r="A26" s="155">
        <v>25</v>
      </c>
      <c r="B26" s="3" t="e">
        <f t="shared" si="0"/>
        <v>#VALUE!</v>
      </c>
      <c r="C26" s="3" t="e">
        <f>C25-Tableau1[[#This Row],[Stint in minutes]]-Tableau1[[#This Row],[Pit In Minutes]]</f>
        <v>#VALUE!</v>
      </c>
      <c r="E26" s="4"/>
      <c r="F26" s="3" t="str">
        <f t="shared" si="1"/>
        <v/>
      </c>
      <c r="G26" s="3" t="str">
        <f t="shared" si="2"/>
        <v/>
      </c>
      <c r="H26" s="3" t="str">
        <f>IFERROR($H25- ('Start Page'!$B$3-'Stints List'!$G26),"")</f>
        <v/>
      </c>
      <c r="I26" s="3" t="b">
        <f>ISBLANK(E26)</f>
        <v>1</v>
      </c>
      <c r="K26" s="3" t="str">
        <f t="shared" si="7"/>
        <v/>
      </c>
      <c r="L26" s="3" t="str">
        <f t="shared" si="8"/>
        <v/>
      </c>
      <c r="M26" s="5"/>
      <c r="N26" s="3" t="str">
        <f t="shared" si="4"/>
        <v/>
      </c>
      <c r="O26" s="3" t="str">
        <f t="shared" si="9"/>
        <v/>
      </c>
      <c r="P26" s="5"/>
      <c r="Q26" s="3" t="str">
        <f t="shared" si="5"/>
        <v/>
      </c>
      <c r="R26" s="3" t="str">
        <f t="shared" si="6"/>
        <v/>
      </c>
    </row>
    <row r="27" spans="1:18" x14ac:dyDescent="0.25">
      <c r="A27" s="155">
        <v>26</v>
      </c>
      <c r="B27" s="3" t="e">
        <f t="shared" si="0"/>
        <v>#VALUE!</v>
      </c>
      <c r="C27" s="3" t="e">
        <f>C26-Tableau1[[#This Row],[Stint in minutes]]-Tableau1[[#This Row],[Pit In Minutes]]</f>
        <v>#VALUE!</v>
      </c>
      <c r="E27" s="4"/>
      <c r="F27" s="3" t="str">
        <f t="shared" si="1"/>
        <v/>
      </c>
      <c r="G27" s="3" t="str">
        <f t="shared" si="2"/>
        <v/>
      </c>
      <c r="H27" s="3" t="str">
        <f>IFERROR($H26- ('Start Page'!$B$3-'Stints List'!$G27),"")</f>
        <v/>
      </c>
      <c r="I27" s="3" t="b">
        <f t="shared" si="3"/>
        <v>1</v>
      </c>
      <c r="K27" s="3" t="str">
        <f t="shared" si="7"/>
        <v/>
      </c>
      <c r="L27" s="3" t="str">
        <f t="shared" si="8"/>
        <v/>
      </c>
      <c r="M27" s="5"/>
      <c r="N27" s="3" t="str">
        <f t="shared" si="4"/>
        <v/>
      </c>
      <c r="O27" s="3" t="str">
        <f t="shared" si="9"/>
        <v/>
      </c>
      <c r="P27" s="5"/>
      <c r="Q27" s="3" t="str">
        <f t="shared" si="5"/>
        <v/>
      </c>
      <c r="R27" s="3" t="str">
        <f t="shared" si="6"/>
        <v/>
      </c>
    </row>
    <row r="28" spans="1:18" x14ac:dyDescent="0.25">
      <c r="A28" s="155">
        <v>27</v>
      </c>
      <c r="B28" s="3" t="e">
        <f t="shared" si="0"/>
        <v>#VALUE!</v>
      </c>
      <c r="C28" s="3" t="e">
        <f>C27-Tableau1[[#This Row],[Stint in minutes]]-Tableau1[[#This Row],[Pit In Minutes]]</f>
        <v>#VALUE!</v>
      </c>
      <c r="E28" s="4"/>
      <c r="F28" s="3" t="str">
        <f t="shared" si="1"/>
        <v/>
      </c>
      <c r="G28" s="3" t="str">
        <f t="shared" si="2"/>
        <v/>
      </c>
      <c r="H28" s="3" t="str">
        <f>IFERROR($H27- ('Start Page'!$B$3-'Stints List'!$G28),"")</f>
        <v/>
      </c>
      <c r="I28" s="3" t="b">
        <f t="shared" si="3"/>
        <v>1</v>
      </c>
      <c r="K28" s="3" t="str">
        <f t="shared" si="7"/>
        <v/>
      </c>
      <c r="L28" s="3" t="str">
        <f t="shared" si="8"/>
        <v/>
      </c>
      <c r="M28" s="5"/>
      <c r="N28" s="3" t="str">
        <f t="shared" si="4"/>
        <v/>
      </c>
      <c r="O28" s="3" t="str">
        <f t="shared" si="9"/>
        <v/>
      </c>
      <c r="P28" s="5"/>
      <c r="Q28" s="3" t="str">
        <f t="shared" si="5"/>
        <v/>
      </c>
      <c r="R28" s="3" t="str">
        <f t="shared" si="6"/>
        <v/>
      </c>
    </row>
    <row r="29" spans="1:18" x14ac:dyDescent="0.25">
      <c r="A29" s="155">
        <v>28</v>
      </c>
      <c r="B29" s="3" t="e">
        <f t="shared" si="0"/>
        <v>#VALUE!</v>
      </c>
      <c r="C29" s="3" t="e">
        <f>C28-Tableau1[[#This Row],[Stint in minutes]]-Tableau1[[#This Row],[Pit In Minutes]]</f>
        <v>#VALUE!</v>
      </c>
      <c r="E29" s="4"/>
      <c r="F29" s="3" t="str">
        <f t="shared" si="1"/>
        <v/>
      </c>
      <c r="G29" s="3" t="str">
        <f t="shared" si="2"/>
        <v/>
      </c>
      <c r="H29" s="3" t="str">
        <f>IFERROR($H28- ('Start Page'!$B$3-'Stints List'!$G29),"")</f>
        <v/>
      </c>
      <c r="I29" s="3" t="b">
        <f t="shared" si="3"/>
        <v>1</v>
      </c>
      <c r="K29" s="3" t="str">
        <f t="shared" si="7"/>
        <v/>
      </c>
      <c r="L29" s="3" t="str">
        <f t="shared" si="8"/>
        <v/>
      </c>
      <c r="M29" s="5"/>
      <c r="N29" s="3" t="str">
        <f t="shared" si="4"/>
        <v/>
      </c>
      <c r="O29" s="3" t="str">
        <f t="shared" si="9"/>
        <v/>
      </c>
      <c r="P29" s="5"/>
      <c r="Q29" s="3" t="str">
        <f t="shared" si="5"/>
        <v/>
      </c>
      <c r="R29" s="3" t="str">
        <f t="shared" si="6"/>
        <v/>
      </c>
    </row>
    <row r="30" spans="1:18" x14ac:dyDescent="0.25">
      <c r="A30" s="155">
        <v>29</v>
      </c>
      <c r="B30" s="3" t="e">
        <f t="shared" si="0"/>
        <v>#VALUE!</v>
      </c>
      <c r="C30" s="3" t="e">
        <f>C29-Tableau1[[#This Row],[Stint in minutes]]-Tableau1[[#This Row],[Pit In Minutes]]</f>
        <v>#VALUE!</v>
      </c>
      <c r="E30" s="4"/>
      <c r="F30" s="3" t="str">
        <f t="shared" si="1"/>
        <v/>
      </c>
      <c r="G30" s="3" t="str">
        <f t="shared" si="2"/>
        <v/>
      </c>
      <c r="H30" s="3" t="str">
        <f>IFERROR($H29- ('Start Page'!$B$3-'Stints List'!$G30),"")</f>
        <v/>
      </c>
      <c r="I30" s="3" t="b">
        <f t="shared" si="3"/>
        <v>1</v>
      </c>
      <c r="K30" s="3" t="str">
        <f t="shared" si="7"/>
        <v/>
      </c>
      <c r="L30" s="3" t="str">
        <f t="shared" si="8"/>
        <v/>
      </c>
      <c r="M30" s="5"/>
      <c r="N30" s="3" t="str">
        <f t="shared" si="4"/>
        <v/>
      </c>
      <c r="O30" s="3" t="str">
        <f t="shared" si="9"/>
        <v/>
      </c>
      <c r="P30" s="5"/>
      <c r="Q30" s="3" t="str">
        <f t="shared" si="5"/>
        <v/>
      </c>
      <c r="R30" s="3" t="str">
        <f t="shared" si="6"/>
        <v/>
      </c>
    </row>
    <row r="31" spans="1:18" x14ac:dyDescent="0.25">
      <c r="A31" s="155">
        <v>30</v>
      </c>
      <c r="B31" s="3" t="e">
        <f t="shared" si="0"/>
        <v>#VALUE!</v>
      </c>
      <c r="C31" s="3" t="e">
        <f>C30-Tableau1[[#This Row],[Stint in minutes]]-Tableau1[[#This Row],[Pit In Minutes]]</f>
        <v>#VALUE!</v>
      </c>
      <c r="E31" s="4"/>
      <c r="F31" s="3" t="str">
        <f t="shared" si="1"/>
        <v/>
      </c>
      <c r="G31" s="3" t="str">
        <f t="shared" si="2"/>
        <v/>
      </c>
      <c r="H31" s="3" t="str">
        <f>IFERROR($H30- ('Start Page'!$B$3-'Stints List'!$G31),"")</f>
        <v/>
      </c>
      <c r="I31" s="3" t="b">
        <f t="shared" si="3"/>
        <v>1</v>
      </c>
      <c r="K31" s="3" t="str">
        <f t="shared" si="7"/>
        <v/>
      </c>
      <c r="L31" s="3" t="str">
        <f t="shared" si="8"/>
        <v/>
      </c>
      <c r="M31" s="5"/>
      <c r="N31" s="3" t="str">
        <f t="shared" si="4"/>
        <v/>
      </c>
      <c r="O31" s="3" t="str">
        <f t="shared" si="9"/>
        <v/>
      </c>
      <c r="P31" s="5"/>
      <c r="Q31" s="3" t="str">
        <f t="shared" si="5"/>
        <v/>
      </c>
      <c r="R31" s="3" t="str">
        <f t="shared" si="6"/>
        <v/>
      </c>
    </row>
    <row r="32" spans="1:18" x14ac:dyDescent="0.25">
      <c r="A32" s="155">
        <v>31</v>
      </c>
      <c r="B32" s="3" t="e">
        <f t="shared" si="0"/>
        <v>#VALUE!</v>
      </c>
      <c r="C32" s="3" t="e">
        <f>C31-Tableau1[[#This Row],[Stint in minutes]]-Tableau1[[#This Row],[Pit In Minutes]]</f>
        <v>#VALUE!</v>
      </c>
      <c r="E32" s="4"/>
      <c r="F32" s="3" t="str">
        <f t="shared" si="1"/>
        <v/>
      </c>
      <c r="G32" s="3" t="str">
        <f t="shared" si="2"/>
        <v/>
      </c>
      <c r="H32" s="3" t="str">
        <f>IFERROR($H31- ('Start Page'!$B$3-'Stints List'!$G32),"")</f>
        <v/>
      </c>
      <c r="I32" s="3" t="b">
        <f t="shared" si="3"/>
        <v>1</v>
      </c>
      <c r="K32" s="3" t="str">
        <f t="shared" si="7"/>
        <v/>
      </c>
      <c r="L32" s="3" t="str">
        <f t="shared" si="8"/>
        <v/>
      </c>
      <c r="M32" s="5"/>
      <c r="N32" s="3" t="str">
        <f t="shared" si="4"/>
        <v/>
      </c>
      <c r="O32" s="3" t="str">
        <f t="shared" si="9"/>
        <v/>
      </c>
      <c r="P32" s="5"/>
      <c r="Q32" s="3" t="str">
        <f t="shared" si="5"/>
        <v/>
      </c>
      <c r="R32" s="3" t="str">
        <f t="shared" si="6"/>
        <v/>
      </c>
    </row>
    <row r="33" spans="1:18" x14ac:dyDescent="0.25">
      <c r="A33" s="155">
        <v>32</v>
      </c>
      <c r="B33" s="3" t="e">
        <f t="shared" si="0"/>
        <v>#VALUE!</v>
      </c>
      <c r="C33" s="3" t="e">
        <f>C32-Tableau1[[#This Row],[Stint in minutes]]-Tableau1[[#This Row],[Pit In Minutes]]</f>
        <v>#VALUE!</v>
      </c>
      <c r="E33" s="4"/>
      <c r="F33" s="3" t="str">
        <f t="shared" si="1"/>
        <v/>
      </c>
      <c r="G33" s="3" t="str">
        <f t="shared" si="2"/>
        <v/>
      </c>
      <c r="H33" s="3" t="str">
        <f>IFERROR($H32- ('Start Page'!$B$3-'Stints List'!$G33),"")</f>
        <v/>
      </c>
      <c r="I33" s="3" t="b">
        <f t="shared" si="3"/>
        <v>1</v>
      </c>
      <c r="K33" s="3" t="str">
        <f t="shared" si="7"/>
        <v/>
      </c>
      <c r="L33" s="3" t="str">
        <f t="shared" si="8"/>
        <v/>
      </c>
      <c r="M33" s="5"/>
      <c r="N33" s="3" t="str">
        <f t="shared" si="4"/>
        <v/>
      </c>
      <c r="O33" s="3" t="str">
        <f t="shared" si="9"/>
        <v/>
      </c>
      <c r="P33" s="5"/>
      <c r="Q33" s="3" t="str">
        <f t="shared" si="5"/>
        <v/>
      </c>
      <c r="R33" s="3" t="str">
        <f t="shared" si="6"/>
        <v/>
      </c>
    </row>
    <row r="34" spans="1:18" x14ac:dyDescent="0.25">
      <c r="A34" s="155">
        <v>33</v>
      </c>
      <c r="B34" s="3" t="e">
        <f t="shared" ref="B34:B50" si="11">TEXT( $C34/1440, "hh:mm:ss" )</f>
        <v>#VALUE!</v>
      </c>
      <c r="C34" s="3" t="e">
        <f>C33-Tableau1[[#This Row],[Stint in minutes]]-Tableau1[[#This Row],[Pit In Minutes]]</f>
        <v>#VALUE!</v>
      </c>
      <c r="E34" s="4"/>
      <c r="F34" s="3" t="str">
        <f t="shared" si="1"/>
        <v/>
      </c>
      <c r="G34" s="3" t="str">
        <f t="shared" si="2"/>
        <v/>
      </c>
      <c r="H34" s="3" t="str">
        <f>IFERROR($H33- ('Start Page'!$B$3-'Stints List'!$G34),"")</f>
        <v/>
      </c>
      <c r="I34" s="3" t="b">
        <f t="shared" si="3"/>
        <v>1</v>
      </c>
      <c r="K34" s="3" t="str">
        <f t="shared" si="7"/>
        <v/>
      </c>
      <c r="L34" s="3" t="str">
        <f t="shared" si="8"/>
        <v/>
      </c>
      <c r="M34" s="5"/>
      <c r="N34" s="3" t="str">
        <f t="shared" si="4"/>
        <v/>
      </c>
      <c r="O34" s="3" t="str">
        <f t="shared" si="9"/>
        <v/>
      </c>
      <c r="P34" s="5"/>
      <c r="Q34" s="3" t="str">
        <f t="shared" si="5"/>
        <v/>
      </c>
      <c r="R34" s="3" t="str">
        <f t="shared" si="6"/>
        <v/>
      </c>
    </row>
    <row r="35" spans="1:18" x14ac:dyDescent="0.25">
      <c r="A35" s="155">
        <v>34</v>
      </c>
      <c r="B35" s="3" t="e">
        <f t="shared" si="11"/>
        <v>#VALUE!</v>
      </c>
      <c r="C35" s="3" t="e">
        <f>C34-Tableau1[[#This Row],[Stint in minutes]]-Tableau1[[#This Row],[Pit In Minutes]]</f>
        <v>#VALUE!</v>
      </c>
      <c r="E35" s="4"/>
      <c r="F35" s="3" t="str">
        <f t="shared" si="1"/>
        <v/>
      </c>
      <c r="G35" s="3" t="str">
        <f t="shared" si="2"/>
        <v/>
      </c>
      <c r="H35" s="3" t="str">
        <f>IFERROR($H34- ('Start Page'!$B$3-'Stints List'!$G35),"")</f>
        <v/>
      </c>
      <c r="I35" s="3" t="b">
        <f t="shared" si="3"/>
        <v>1</v>
      </c>
      <c r="K35" s="3" t="str">
        <f t="shared" si="7"/>
        <v/>
      </c>
      <c r="L35" s="3" t="str">
        <f t="shared" si="8"/>
        <v/>
      </c>
      <c r="M35" s="5"/>
      <c r="N35" s="3" t="str">
        <f t="shared" si="4"/>
        <v/>
      </c>
      <c r="O35" s="3" t="str">
        <f t="shared" si="9"/>
        <v/>
      </c>
      <c r="P35" s="5"/>
      <c r="Q35" s="3" t="str">
        <f t="shared" si="5"/>
        <v/>
      </c>
      <c r="R35" s="3" t="str">
        <f t="shared" si="6"/>
        <v/>
      </c>
    </row>
    <row r="36" spans="1:18" x14ac:dyDescent="0.25">
      <c r="A36" s="155">
        <v>35</v>
      </c>
      <c r="B36" s="3" t="e">
        <f t="shared" si="11"/>
        <v>#VALUE!</v>
      </c>
      <c r="C36" s="3" t="e">
        <f>C35-Tableau1[[#This Row],[Stint in minutes]]-Tableau1[[#This Row],[Pit In Minutes]]</f>
        <v>#VALUE!</v>
      </c>
      <c r="E36" s="4"/>
      <c r="F36" s="3" t="str">
        <f t="shared" si="1"/>
        <v/>
      </c>
      <c r="G36" s="3" t="str">
        <f t="shared" si="2"/>
        <v/>
      </c>
      <c r="H36" s="3" t="str">
        <f>IFERROR($H35- ('Start Page'!$B$3-'Stints List'!$G36),"")</f>
        <v/>
      </c>
      <c r="I36" s="3" t="b">
        <f t="shared" si="3"/>
        <v>1</v>
      </c>
      <c r="K36" s="3" t="str">
        <f t="shared" si="7"/>
        <v/>
      </c>
      <c r="L36" s="3" t="str">
        <f t="shared" si="8"/>
        <v/>
      </c>
      <c r="M36" s="5"/>
      <c r="N36" s="3" t="str">
        <f t="shared" si="4"/>
        <v/>
      </c>
      <c r="O36" s="3" t="str">
        <f t="shared" si="9"/>
        <v/>
      </c>
      <c r="P36" s="5"/>
      <c r="Q36" s="3" t="str">
        <f t="shared" si="5"/>
        <v/>
      </c>
      <c r="R36" s="3" t="str">
        <f t="shared" si="6"/>
        <v/>
      </c>
    </row>
    <row r="37" spans="1:18" x14ac:dyDescent="0.25">
      <c r="A37" s="155">
        <v>36</v>
      </c>
      <c r="B37" s="3" t="e">
        <f t="shared" si="11"/>
        <v>#VALUE!</v>
      </c>
      <c r="C37" s="3" t="e">
        <f>C36-Tableau1[[#This Row],[Stint in minutes]]-Tableau1[[#This Row],[Pit In Minutes]]</f>
        <v>#VALUE!</v>
      </c>
      <c r="E37" s="4"/>
      <c r="F37" s="3" t="str">
        <f t="shared" si="1"/>
        <v/>
      </c>
      <c r="G37" s="3" t="str">
        <f t="shared" si="2"/>
        <v/>
      </c>
      <c r="H37" s="3" t="str">
        <f>IFERROR($H36- ('Start Page'!$B$3-'Stints List'!$G37),"")</f>
        <v/>
      </c>
      <c r="I37" s="3" t="b">
        <f t="shared" si="3"/>
        <v>1</v>
      </c>
      <c r="K37" s="3" t="str">
        <f t="shared" si="7"/>
        <v/>
      </c>
      <c r="L37" s="3" t="str">
        <f t="shared" si="8"/>
        <v/>
      </c>
      <c r="M37" s="5"/>
      <c r="N37" s="3" t="str">
        <f t="shared" si="4"/>
        <v/>
      </c>
      <c r="O37" s="3" t="str">
        <f t="shared" si="9"/>
        <v/>
      </c>
      <c r="P37" s="5"/>
      <c r="Q37" s="3" t="str">
        <f t="shared" si="5"/>
        <v/>
      </c>
      <c r="R37" s="3" t="str">
        <f t="shared" si="6"/>
        <v/>
      </c>
    </row>
    <row r="38" spans="1:18" x14ac:dyDescent="0.25">
      <c r="A38" s="155">
        <v>37</v>
      </c>
      <c r="B38" s="3" t="e">
        <f t="shared" si="11"/>
        <v>#VALUE!</v>
      </c>
      <c r="C38" s="3" t="e">
        <f>C37-Tableau1[[#This Row],[Stint in minutes]]-Tableau1[[#This Row],[Pit In Minutes]]</f>
        <v>#VALUE!</v>
      </c>
      <c r="E38" s="4"/>
      <c r="F38" s="3" t="str">
        <f t="shared" si="1"/>
        <v/>
      </c>
      <c r="G38" s="3" t="str">
        <f t="shared" si="2"/>
        <v/>
      </c>
      <c r="H38" s="3" t="str">
        <f>IFERROR($H37- ('Start Page'!$B$3-'Stints List'!$G38),"")</f>
        <v/>
      </c>
      <c r="I38" s="3" t="b">
        <f t="shared" si="3"/>
        <v>1</v>
      </c>
      <c r="K38" s="3" t="str">
        <f t="shared" si="7"/>
        <v/>
      </c>
      <c r="L38" s="3" t="str">
        <f t="shared" si="8"/>
        <v/>
      </c>
      <c r="M38" s="5"/>
      <c r="N38" s="3" t="str">
        <f t="shared" si="4"/>
        <v/>
      </c>
      <c r="O38" s="3" t="str">
        <f t="shared" si="9"/>
        <v/>
      </c>
      <c r="P38" s="5"/>
      <c r="Q38" s="3" t="str">
        <f t="shared" si="5"/>
        <v/>
      </c>
      <c r="R38" s="3" t="str">
        <f t="shared" si="6"/>
        <v/>
      </c>
    </row>
    <row r="39" spans="1:18" x14ac:dyDescent="0.25">
      <c r="A39" s="155">
        <v>38</v>
      </c>
      <c r="B39" s="3" t="e">
        <f t="shared" si="11"/>
        <v>#VALUE!</v>
      </c>
      <c r="C39" s="3" t="e">
        <f>C38-Tableau1[[#This Row],[Stint in minutes]]-Tableau1[[#This Row],[Pit In Minutes]]</f>
        <v>#VALUE!</v>
      </c>
      <c r="E39" s="4"/>
      <c r="F39" s="3" t="str">
        <f t="shared" si="1"/>
        <v/>
      </c>
      <c r="G39" s="3" t="str">
        <f t="shared" si="2"/>
        <v/>
      </c>
      <c r="H39" s="3" t="str">
        <f>IFERROR($H38- ('Start Page'!$B$3-'Stints List'!$G39),"")</f>
        <v/>
      </c>
      <c r="I39" s="3" t="b">
        <f t="shared" si="3"/>
        <v>1</v>
      </c>
      <c r="K39" s="3" t="str">
        <f t="shared" si="7"/>
        <v/>
      </c>
      <c r="L39" s="3" t="str">
        <f t="shared" si="8"/>
        <v/>
      </c>
      <c r="M39" s="5"/>
      <c r="N39" s="3" t="str">
        <f t="shared" si="4"/>
        <v/>
      </c>
      <c r="O39" s="3" t="str">
        <f t="shared" si="9"/>
        <v/>
      </c>
      <c r="P39" s="5"/>
      <c r="Q39" s="3" t="str">
        <f t="shared" si="5"/>
        <v/>
      </c>
      <c r="R39" s="3" t="str">
        <f t="shared" si="6"/>
        <v/>
      </c>
    </row>
    <row r="40" spans="1:18" x14ac:dyDescent="0.25">
      <c r="A40" s="155">
        <v>39</v>
      </c>
      <c r="B40" s="3" t="e">
        <f t="shared" si="11"/>
        <v>#VALUE!</v>
      </c>
      <c r="C40" s="3" t="e">
        <f>C39-Tableau1[[#This Row],[Stint in minutes]]-Tableau1[[#This Row],[Pit In Minutes]]</f>
        <v>#VALUE!</v>
      </c>
      <c r="E40" s="4"/>
      <c r="F40" s="3" t="str">
        <f t="shared" si="1"/>
        <v/>
      </c>
      <c r="G40" s="3" t="str">
        <f t="shared" si="2"/>
        <v/>
      </c>
      <c r="H40" s="3" t="str">
        <f>IFERROR($H39- ('Start Page'!$B$3-'Stints List'!$G40),"")</f>
        <v/>
      </c>
      <c r="I40" s="3" t="b">
        <f t="shared" si="3"/>
        <v>1</v>
      </c>
      <c r="K40" s="3" t="str">
        <f t="shared" si="7"/>
        <v/>
      </c>
      <c r="L40" s="3" t="str">
        <f t="shared" si="8"/>
        <v/>
      </c>
      <c r="M40" s="5"/>
      <c r="N40" s="3" t="str">
        <f t="shared" si="4"/>
        <v/>
      </c>
      <c r="O40" s="3" t="str">
        <f t="shared" si="9"/>
        <v/>
      </c>
      <c r="P40" s="5"/>
      <c r="Q40" s="3" t="str">
        <f t="shared" si="5"/>
        <v/>
      </c>
      <c r="R40" s="3" t="str">
        <f t="shared" si="6"/>
        <v/>
      </c>
    </row>
    <row r="41" spans="1:18" x14ac:dyDescent="0.25">
      <c r="A41" s="155">
        <v>40</v>
      </c>
      <c r="B41" s="3" t="e">
        <f t="shared" si="11"/>
        <v>#VALUE!</v>
      </c>
      <c r="C41" s="3" t="e">
        <f>C40-Tableau1[[#This Row],[Stint in minutes]]-Tableau1[[#This Row],[Pit In Minutes]]</f>
        <v>#VALUE!</v>
      </c>
      <c r="E41" s="4"/>
      <c r="F41" s="3" t="str">
        <f t="shared" si="1"/>
        <v/>
      </c>
      <c r="G41" s="3" t="str">
        <f t="shared" si="2"/>
        <v/>
      </c>
      <c r="H41" s="3" t="str">
        <f>IFERROR($H40- ('Start Page'!$B$3-'Stints List'!$G41),"")</f>
        <v/>
      </c>
      <c r="I41" s="3" t="b">
        <f t="shared" si="3"/>
        <v>1</v>
      </c>
      <c r="K41" s="3" t="str">
        <f t="shared" si="7"/>
        <v/>
      </c>
      <c r="L41" s="3" t="str">
        <f t="shared" si="8"/>
        <v/>
      </c>
      <c r="M41" s="5"/>
      <c r="N41" s="3" t="str">
        <f t="shared" si="4"/>
        <v/>
      </c>
      <c r="O41" s="3" t="str">
        <f t="shared" si="9"/>
        <v/>
      </c>
      <c r="P41" s="5"/>
      <c r="Q41" s="3" t="str">
        <f t="shared" si="5"/>
        <v/>
      </c>
      <c r="R41" s="3" t="str">
        <f t="shared" si="6"/>
        <v/>
      </c>
    </row>
    <row r="42" spans="1:18" x14ac:dyDescent="0.25">
      <c r="A42" s="155">
        <v>41</v>
      </c>
      <c r="B42" s="3" t="e">
        <f t="shared" si="11"/>
        <v>#VALUE!</v>
      </c>
      <c r="C42" s="3" t="e">
        <f>C41-Tableau1[[#This Row],[Stint in minutes]]-Tableau1[[#This Row],[Pit In Minutes]]</f>
        <v>#VALUE!</v>
      </c>
      <c r="E42" s="4"/>
      <c r="F42" s="3" t="str">
        <f t="shared" si="1"/>
        <v/>
      </c>
      <c r="G42" s="3" t="str">
        <f t="shared" si="2"/>
        <v/>
      </c>
      <c r="H42" s="3" t="str">
        <f>IFERROR($H41- ('Start Page'!$B$3-'Stints List'!$G42),"")</f>
        <v/>
      </c>
      <c r="I42" s="3" t="b">
        <f t="shared" si="3"/>
        <v>1</v>
      </c>
      <c r="K42" s="3" t="str">
        <f t="shared" si="7"/>
        <v/>
      </c>
      <c r="L42" s="3" t="str">
        <f t="shared" si="8"/>
        <v/>
      </c>
      <c r="M42" s="5"/>
      <c r="N42" s="3" t="str">
        <f t="shared" si="4"/>
        <v/>
      </c>
      <c r="O42" s="3" t="str">
        <f t="shared" si="9"/>
        <v/>
      </c>
      <c r="P42" s="5"/>
      <c r="Q42" s="3" t="str">
        <f t="shared" si="5"/>
        <v/>
      </c>
      <c r="R42" s="3" t="str">
        <f t="shared" si="6"/>
        <v/>
      </c>
    </row>
    <row r="43" spans="1:18" x14ac:dyDescent="0.25">
      <c r="A43" s="155">
        <v>42</v>
      </c>
      <c r="B43" s="3" t="e">
        <f t="shared" si="11"/>
        <v>#VALUE!</v>
      </c>
      <c r="C43" s="3" t="e">
        <f>C42-Tableau1[[#This Row],[Stint in minutes]]-Tableau1[[#This Row],[Pit In Minutes]]</f>
        <v>#VALUE!</v>
      </c>
      <c r="E43" s="4"/>
      <c r="F43" s="3" t="str">
        <f t="shared" si="1"/>
        <v/>
      </c>
      <c r="G43" s="3" t="str">
        <f t="shared" si="2"/>
        <v/>
      </c>
      <c r="H43" s="3" t="str">
        <f>IFERROR($H42- ('Start Page'!$B$3-'Stints List'!$G43),"")</f>
        <v/>
      </c>
      <c r="I43" s="3" t="b">
        <f t="shared" si="3"/>
        <v>1</v>
      </c>
      <c r="K43" s="3" t="str">
        <f t="shared" si="7"/>
        <v/>
      </c>
      <c r="L43" s="3" t="str">
        <f t="shared" si="8"/>
        <v/>
      </c>
      <c r="M43" s="5"/>
      <c r="N43" s="3" t="str">
        <f t="shared" si="4"/>
        <v/>
      </c>
      <c r="O43" s="3" t="str">
        <f t="shared" si="9"/>
        <v/>
      </c>
      <c r="P43" s="5"/>
      <c r="Q43" s="3" t="str">
        <f t="shared" si="5"/>
        <v/>
      </c>
      <c r="R43" s="3" t="str">
        <f t="shared" si="6"/>
        <v/>
      </c>
    </row>
    <row r="44" spans="1:18" x14ac:dyDescent="0.25">
      <c r="A44" s="155">
        <v>43</v>
      </c>
      <c r="B44" s="3" t="e">
        <f t="shared" si="11"/>
        <v>#VALUE!</v>
      </c>
      <c r="C44" s="3" t="e">
        <f>C43-Tableau1[[#This Row],[Stint in minutes]]-Tableau1[[#This Row],[Pit In Minutes]]</f>
        <v>#VALUE!</v>
      </c>
      <c r="E44" s="4"/>
      <c r="F44" s="3" t="str">
        <f t="shared" si="1"/>
        <v/>
      </c>
      <c r="G44" s="3" t="str">
        <f t="shared" si="2"/>
        <v/>
      </c>
      <c r="H44" s="3" t="str">
        <f>IFERROR($H43- ('Start Page'!$B$3-'Stints List'!$G44),"")</f>
        <v/>
      </c>
      <c r="I44" s="3" t="b">
        <f t="shared" si="3"/>
        <v>1</v>
      </c>
      <c r="K44" s="3" t="str">
        <f t="shared" si="7"/>
        <v/>
      </c>
      <c r="L44" s="3" t="str">
        <f t="shared" si="8"/>
        <v/>
      </c>
      <c r="M44" s="5"/>
      <c r="N44" s="3" t="str">
        <f t="shared" si="4"/>
        <v/>
      </c>
      <c r="O44" s="3" t="str">
        <f t="shared" si="9"/>
        <v/>
      </c>
      <c r="P44" s="5"/>
      <c r="Q44" s="3" t="str">
        <f t="shared" si="5"/>
        <v/>
      </c>
      <c r="R44" s="3" t="str">
        <f t="shared" si="6"/>
        <v/>
      </c>
    </row>
    <row r="45" spans="1:18" x14ac:dyDescent="0.25">
      <c r="A45" s="155">
        <v>44</v>
      </c>
      <c r="B45" s="3" t="e">
        <f t="shared" si="11"/>
        <v>#VALUE!</v>
      </c>
      <c r="C45" s="3" t="e">
        <f>C44-Tableau1[[#This Row],[Stint in minutes]]-Tableau1[[#This Row],[Pit In Minutes]]</f>
        <v>#VALUE!</v>
      </c>
      <c r="E45" s="4"/>
      <c r="F45" s="3" t="str">
        <f t="shared" si="1"/>
        <v/>
      </c>
      <c r="G45" s="3" t="str">
        <f t="shared" si="2"/>
        <v/>
      </c>
      <c r="H45" s="3" t="str">
        <f>IFERROR($H44- ('Start Page'!$B$3-'Stints List'!$G45),"")</f>
        <v/>
      </c>
      <c r="I45" s="3" t="b">
        <f t="shared" si="3"/>
        <v>1</v>
      </c>
      <c r="K45" s="3" t="str">
        <f t="shared" si="7"/>
        <v/>
      </c>
      <c r="L45" s="3" t="str">
        <f t="shared" si="8"/>
        <v/>
      </c>
      <c r="M45" s="5"/>
      <c r="N45" s="3" t="str">
        <f t="shared" si="4"/>
        <v/>
      </c>
      <c r="O45" s="3" t="str">
        <f t="shared" si="9"/>
        <v/>
      </c>
      <c r="P45" s="5"/>
      <c r="Q45" s="3" t="str">
        <f t="shared" si="5"/>
        <v/>
      </c>
      <c r="R45" s="3" t="str">
        <f t="shared" si="6"/>
        <v/>
      </c>
    </row>
    <row r="46" spans="1:18" x14ac:dyDescent="0.25">
      <c r="A46" s="155">
        <v>45</v>
      </c>
      <c r="B46" s="3" t="e">
        <f t="shared" si="11"/>
        <v>#VALUE!</v>
      </c>
      <c r="C46" s="3" t="e">
        <f>C45-Tableau1[[#This Row],[Stint in minutes]]-Tableau1[[#This Row],[Pit In Minutes]]</f>
        <v>#VALUE!</v>
      </c>
      <c r="E46" s="4"/>
      <c r="F46" s="3" t="str">
        <f t="shared" si="1"/>
        <v/>
      </c>
      <c r="G46" s="3" t="str">
        <f t="shared" si="2"/>
        <v/>
      </c>
      <c r="H46" s="3" t="str">
        <f>IFERROR($H45- ('Start Page'!$B$3-'Stints List'!$G46),"")</f>
        <v/>
      </c>
      <c r="I46" s="3" t="b">
        <f t="shared" si="3"/>
        <v>1</v>
      </c>
      <c r="K46" s="3" t="str">
        <f t="shared" si="7"/>
        <v/>
      </c>
      <c r="L46" s="3" t="str">
        <f t="shared" si="8"/>
        <v/>
      </c>
      <c r="M46" s="5"/>
      <c r="N46" s="3" t="str">
        <f t="shared" si="4"/>
        <v/>
      </c>
      <c r="O46" s="3" t="str">
        <f t="shared" si="9"/>
        <v/>
      </c>
      <c r="P46" s="5"/>
      <c r="Q46" s="3" t="str">
        <f t="shared" si="5"/>
        <v/>
      </c>
      <c r="R46" s="3" t="str">
        <f t="shared" si="6"/>
        <v/>
      </c>
    </row>
    <row r="47" spans="1:18" x14ac:dyDescent="0.25">
      <c r="A47" s="155">
        <v>46</v>
      </c>
      <c r="B47" s="3" t="e">
        <f t="shared" si="11"/>
        <v>#VALUE!</v>
      </c>
      <c r="C47" s="3" t="e">
        <f>C46-Tableau1[[#This Row],[Stint in minutes]]-Tableau1[[#This Row],[Pit In Minutes]]</f>
        <v>#VALUE!</v>
      </c>
      <c r="E47" s="4"/>
      <c r="F47" s="3" t="str">
        <f t="shared" si="1"/>
        <v/>
      </c>
      <c r="G47" s="3" t="str">
        <f t="shared" si="2"/>
        <v/>
      </c>
      <c r="H47" s="3" t="str">
        <f>IFERROR($H46- ('Start Page'!$B$3-'Stints List'!$G47),"")</f>
        <v/>
      </c>
      <c r="I47" s="3" t="b">
        <f t="shared" si="3"/>
        <v>1</v>
      </c>
      <c r="K47" s="3" t="str">
        <f t="shared" si="7"/>
        <v/>
      </c>
      <c r="L47" s="3" t="str">
        <f t="shared" si="8"/>
        <v/>
      </c>
      <c r="M47" s="5"/>
      <c r="N47" s="3" t="str">
        <f t="shared" si="4"/>
        <v/>
      </c>
      <c r="O47" s="3" t="str">
        <f t="shared" si="9"/>
        <v/>
      </c>
      <c r="P47" s="5"/>
      <c r="Q47" s="3" t="str">
        <f t="shared" si="5"/>
        <v/>
      </c>
      <c r="R47" s="3" t="str">
        <f t="shared" si="6"/>
        <v/>
      </c>
    </row>
    <row r="48" spans="1:18" x14ac:dyDescent="0.25">
      <c r="A48" s="155">
        <v>47</v>
      </c>
      <c r="B48" s="3" t="e">
        <f t="shared" si="11"/>
        <v>#VALUE!</v>
      </c>
      <c r="C48" s="3" t="e">
        <f>C47-Tableau1[[#This Row],[Stint in minutes]]-Tableau1[[#This Row],[Pit In Minutes]]</f>
        <v>#VALUE!</v>
      </c>
      <c r="E48" s="4"/>
      <c r="F48" s="3" t="str">
        <f t="shared" si="1"/>
        <v/>
      </c>
      <c r="G48" s="3" t="str">
        <f t="shared" si="2"/>
        <v/>
      </c>
      <c r="H48" s="3" t="str">
        <f>IFERROR($H47- ('Start Page'!$B$3-'Stints List'!$G48),"")</f>
        <v/>
      </c>
      <c r="I48" s="3" t="b">
        <f t="shared" si="3"/>
        <v>1</v>
      </c>
      <c r="K48" s="3" t="str">
        <f t="shared" si="7"/>
        <v/>
      </c>
      <c r="L48" s="3" t="str">
        <f t="shared" si="8"/>
        <v/>
      </c>
      <c r="M48" s="5"/>
      <c r="N48" s="3" t="str">
        <f t="shared" si="4"/>
        <v/>
      </c>
      <c r="O48" s="3" t="str">
        <f t="shared" si="9"/>
        <v/>
      </c>
      <c r="P48" s="5"/>
      <c r="Q48" s="3" t="str">
        <f t="shared" si="5"/>
        <v/>
      </c>
      <c r="R48" s="3" t="str">
        <f t="shared" si="6"/>
        <v/>
      </c>
    </row>
    <row r="49" spans="1:18" x14ac:dyDescent="0.25">
      <c r="A49" s="155">
        <v>48</v>
      </c>
      <c r="B49" s="3" t="e">
        <f t="shared" si="11"/>
        <v>#VALUE!</v>
      </c>
      <c r="C49" s="3" t="e">
        <f>C48-Tableau1[[#This Row],[Stint in minutes]]-Tableau1[[#This Row],[Pit In Minutes]]</f>
        <v>#VALUE!</v>
      </c>
      <c r="E49" s="4"/>
      <c r="F49" s="3" t="str">
        <f t="shared" si="1"/>
        <v/>
      </c>
      <c r="G49" s="3" t="str">
        <f t="shared" si="2"/>
        <v/>
      </c>
      <c r="H49" s="3" t="str">
        <f>IFERROR($H48- ('Start Page'!$B$3-'Stints List'!$G49),"")</f>
        <v/>
      </c>
      <c r="I49" s="3" t="b">
        <f t="shared" si="3"/>
        <v>1</v>
      </c>
      <c r="K49" s="3" t="str">
        <f t="shared" si="7"/>
        <v/>
      </c>
      <c r="L49" s="3" t="str">
        <f t="shared" si="8"/>
        <v/>
      </c>
      <c r="M49" s="5"/>
      <c r="N49" s="3" t="str">
        <f t="shared" si="4"/>
        <v/>
      </c>
      <c r="O49" s="3" t="str">
        <f t="shared" si="9"/>
        <v/>
      </c>
      <c r="P49" s="5"/>
      <c r="Q49" s="3" t="str">
        <f t="shared" si="5"/>
        <v/>
      </c>
      <c r="R49" s="3" t="str">
        <f t="shared" si="6"/>
        <v/>
      </c>
    </row>
    <row r="50" spans="1:18" x14ac:dyDescent="0.25">
      <c r="A50" s="155">
        <v>49</v>
      </c>
      <c r="B50" s="3" t="e">
        <f t="shared" si="11"/>
        <v>#VALUE!</v>
      </c>
      <c r="C50" s="3" t="e">
        <f>C49-Tableau1[[#This Row],[Stint in minutes]]-Tableau1[[#This Row],[Pit In Minutes]]</f>
        <v>#VALUE!</v>
      </c>
      <c r="E50" s="4"/>
      <c r="F50" s="3" t="str">
        <f t="shared" si="1"/>
        <v/>
      </c>
      <c r="G50" s="3" t="str">
        <f t="shared" si="2"/>
        <v/>
      </c>
      <c r="H50" s="3" t="str">
        <f>IFERROR($H49- ('Start Page'!$B$3-'Stints List'!$G50),"")</f>
        <v/>
      </c>
      <c r="I50" s="3" t="b">
        <f t="shared" si="3"/>
        <v>1</v>
      </c>
      <c r="K50" s="3" t="str">
        <f t="shared" si="7"/>
        <v/>
      </c>
      <c r="L50" s="3" t="str">
        <f t="shared" si="8"/>
        <v/>
      </c>
      <c r="M50" s="5"/>
      <c r="N50" s="3" t="str">
        <f t="shared" si="4"/>
        <v/>
      </c>
      <c r="O50" s="3" t="str">
        <f t="shared" si="9"/>
        <v/>
      </c>
      <c r="P50" s="5"/>
      <c r="Q50" s="3" t="str">
        <f t="shared" si="5"/>
        <v/>
      </c>
      <c r="R50" s="3" t="str">
        <f t="shared" si="6"/>
        <v/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C2D9D-73B2-48D4-9670-93653B11FB54}">
  <sheetPr codeName="Feuil2"/>
  <dimension ref="A1:J2"/>
  <sheetViews>
    <sheetView zoomScaleNormal="100" workbookViewId="0">
      <selection activeCell="E25" sqref="E25"/>
    </sheetView>
  </sheetViews>
  <sheetFormatPr baseColWidth="10" defaultRowHeight="15" x14ac:dyDescent="0.25"/>
  <cols>
    <col min="1" max="1" width="12.5703125" bestFit="1" customWidth="1"/>
    <col min="2" max="2" width="6" bestFit="1" customWidth="1"/>
    <col min="3" max="3" width="12.5703125" bestFit="1" customWidth="1"/>
    <col min="4" max="4" width="16.7109375" bestFit="1" customWidth="1"/>
    <col min="5" max="5" width="17" bestFit="1" customWidth="1"/>
    <col min="6" max="6" width="19.42578125" bestFit="1" customWidth="1"/>
    <col min="7" max="7" width="27.140625" bestFit="1" customWidth="1"/>
    <col min="8" max="8" width="24.140625" bestFit="1" customWidth="1"/>
    <col min="9" max="9" width="25.7109375" bestFit="1" customWidth="1"/>
    <col min="10" max="10" width="17.28515625" bestFit="1" customWidth="1"/>
    <col min="11" max="11" width="17.5703125" bestFit="1" customWidth="1"/>
    <col min="12" max="12" width="21.7109375" bestFit="1" customWidth="1"/>
    <col min="13" max="13" width="22" bestFit="1" customWidth="1"/>
    <col min="14" max="14" width="24.42578125" bestFit="1" customWidth="1"/>
    <col min="15" max="15" width="32.140625" bestFit="1" customWidth="1"/>
    <col min="16" max="16" width="29.140625" bestFit="1" customWidth="1"/>
    <col min="17" max="17" width="22.85546875" bestFit="1" customWidth="1"/>
    <col min="18" max="18" width="19.42578125" bestFit="1" customWidth="1"/>
    <col min="19" max="21" width="6.5703125" bestFit="1" customWidth="1"/>
    <col min="22" max="22" width="10.85546875" bestFit="1" customWidth="1"/>
    <col min="23" max="23" width="17.5703125" bestFit="1" customWidth="1"/>
    <col min="24" max="24" width="21.7109375" bestFit="1" customWidth="1"/>
    <col min="25" max="25" width="22" bestFit="1" customWidth="1"/>
    <col min="26" max="26" width="24.42578125" bestFit="1" customWidth="1"/>
  </cols>
  <sheetData>
    <row r="1" spans="1:10" x14ac:dyDescent="0.25">
      <c r="A1" s="30" t="s">
        <v>64</v>
      </c>
      <c r="B1" t="s">
        <v>80</v>
      </c>
      <c r="C1" t="s">
        <v>43</v>
      </c>
      <c r="D1" t="s">
        <v>81</v>
      </c>
      <c r="E1" t="s">
        <v>82</v>
      </c>
      <c r="F1" t="s">
        <v>83</v>
      </c>
      <c r="G1" t="s">
        <v>86</v>
      </c>
      <c r="H1" t="s">
        <v>84</v>
      </c>
      <c r="I1" t="s">
        <v>85</v>
      </c>
      <c r="J1" t="s">
        <v>87</v>
      </c>
    </row>
    <row r="2" spans="1:10" x14ac:dyDescent="0.25">
      <c r="A2" s="31" t="s">
        <v>79</v>
      </c>
      <c r="D2" s="32"/>
      <c r="E2" s="32"/>
      <c r="F2" s="33"/>
      <c r="G2" s="3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65E39-9F89-4AB9-AB04-6C4C9775593D}">
  <sheetPr codeName="Feuil4">
    <tabColor theme="7"/>
  </sheetPr>
  <dimension ref="A1:B70"/>
  <sheetViews>
    <sheetView workbookViewId="0">
      <selection activeCell="B9" sqref="B9"/>
    </sheetView>
  </sheetViews>
  <sheetFormatPr baseColWidth="10" defaultColWidth="9.140625" defaultRowHeight="15" x14ac:dyDescent="0.25"/>
  <cols>
    <col min="1" max="1" width="35.5703125" style="44" bestFit="1" customWidth="1"/>
    <col min="2" max="2" width="20.85546875" style="44" bestFit="1" customWidth="1"/>
    <col min="3" max="16384" width="9.140625" style="44"/>
  </cols>
  <sheetData>
    <row r="1" spans="1:2" x14ac:dyDescent="0.25">
      <c r="A1" s="44" t="s">
        <v>93</v>
      </c>
      <c r="B1" s="44">
        <v>45</v>
      </c>
    </row>
    <row r="2" spans="1:2" x14ac:dyDescent="0.25">
      <c r="A2" s="44" t="s">
        <v>94</v>
      </c>
      <c r="B2" s="44">
        <v>24</v>
      </c>
    </row>
    <row r="4" spans="1:2" x14ac:dyDescent="0.25">
      <c r="A4" s="44" t="s">
        <v>95</v>
      </c>
    </row>
    <row r="5" spans="1:2" x14ac:dyDescent="0.25">
      <c r="A5" s="45" t="s">
        <v>96</v>
      </c>
      <c r="B5" s="45" t="s">
        <v>97</v>
      </c>
    </row>
    <row r="6" spans="1:2" x14ac:dyDescent="0.25">
      <c r="A6" s="44">
        <v>1</v>
      </c>
      <c r="B6" s="44">
        <f>IF($B$1&lt;=15,
  ROUND(
    (1000 + $B$1 + VLOOKUP($B$2, [1]Data!$J$28:$K$52, 2, TRUE))
    - ((A6 - 1) * ((1000) / ($B$1 - 1))),
  0),
IF($B$1&lt;=25,
  ROUND(
    (1016 + VLOOKUP($B$2, [1]Data!$J$28:$K$52, 2, TRUE))
    - ((A6 - 1) * ((1016 - 16) / ($B$1 - 1))),
  0),
  ROUND(
    (1017 + VLOOKUP($B$2, [1]Data!$J$28:$K$52, 2, TRUE))
    - ((A6 - 1) * ((1017 - 17) / ($B$1 - 1))),
  0)
))</f>
        <v>1157</v>
      </c>
    </row>
    <row r="7" spans="1:2" x14ac:dyDescent="0.25">
      <c r="A7" s="44">
        <v>2</v>
      </c>
      <c r="B7" s="44">
        <f>IF($B$1&lt;=15,
  ROUND(
    (1000 + $B$1 + VLOOKUP($B$2, [1]Data!$J$28:$K$52, 2, TRUE))
    - ((A7 - 1) * ((1000) / ($B$1 - 1))),
  0),
IF($B$1&lt;=25,
  ROUND(
    (1016 + VLOOKUP($B$2, [1]Data!$J$28:$K$52, 2, TRUE))
    - ((A7 - 1) * ((1016 - 16) / ($B$1 - 1))),
  0),
  ROUND(
    (1017 + VLOOKUP($B$2, [1]Data!$J$28:$K$52, 2, TRUE))
    - ((A7 - 1) * ((1017 - 17) / ($B$1 - 1))),
  0)
))</f>
        <v>1134</v>
      </c>
    </row>
    <row r="8" spans="1:2" x14ac:dyDescent="0.25">
      <c r="A8" s="44">
        <v>3</v>
      </c>
      <c r="B8" s="44">
        <f>IF($B$1&lt;=15,
  ROUND(
    (1000 + $B$1 + VLOOKUP($B$2, [1]Data!$J$28:$K$52, 2, TRUE))
    - ((A8 - 1) * ((1000) / ($B$1 - 1))),
  0),
IF($B$1&lt;=25,
  ROUND(
    (1016 + VLOOKUP($B$2, [1]Data!$J$28:$K$52, 2, TRUE))
    - ((A8 - 1) * ((1016 - 16) / ($B$1 - 1))),
  0),
  ROUND(
    (1017 + VLOOKUP($B$2, [1]Data!$J$28:$K$52, 2, TRUE))
    - ((A8 - 1) * ((1017 - 17) / ($B$1 - 1))),
  0)
))</f>
        <v>1112</v>
      </c>
    </row>
    <row r="9" spans="1:2" x14ac:dyDescent="0.25">
      <c r="A9" s="44">
        <v>4</v>
      </c>
      <c r="B9" s="44">
        <f>IF($B$1&lt;=15,
  ROUND(
    (1000 + $B$1 + VLOOKUP($B$2, [1]Data!$J$28:$K$52, 2, TRUE))
    - ((A9 - 1) * ((1000) / ($B$1 - 1))),
  0),
IF($B$1&lt;=25,
  ROUND(
    (1016 + VLOOKUP($B$2, [1]Data!$J$28:$K$52, 2, TRUE))
    - ((A9 - 1) * ((1016 - 16) / ($B$1 - 1))),
  0),
  ROUND(
    (1017 + VLOOKUP($B$2, [1]Data!$J$28:$K$52, 2, TRUE))
    - ((A9 - 1) * ((1017 - 17) / ($B$1 - 1))),
  0)
))</f>
        <v>1089</v>
      </c>
    </row>
    <row r="10" spans="1:2" x14ac:dyDescent="0.25">
      <c r="A10" s="44">
        <v>5</v>
      </c>
      <c r="B10" s="44">
        <f>IF($B$1&lt;=15,
  ROUND(
    (1000 + $B$1 + VLOOKUP($B$2, [1]Data!$J$28:$K$52, 2, TRUE))
    - ((A10 - 1) * ((1000) / ($B$1 - 1))),
  0),
IF($B$1&lt;=25,
  ROUND(
    (1016 + VLOOKUP($B$2, [1]Data!$J$28:$K$52, 2, TRUE))
    - ((A10 - 1) * ((1016 - 16) / ($B$1 - 1))),
  0),
  ROUND(
    (1017 + VLOOKUP($B$2, [1]Data!$J$28:$K$52, 2, TRUE))
    - ((A10 - 1) * ((1017 - 17) / ($B$1 - 1))),
  0)
))</f>
        <v>1066</v>
      </c>
    </row>
    <row r="11" spans="1:2" x14ac:dyDescent="0.25">
      <c r="A11" s="44">
        <v>6</v>
      </c>
      <c r="B11" s="44">
        <f>IF($B$1&lt;=15,
  ROUND(
    (1000 + $B$1 + VLOOKUP($B$2, [1]Data!$J$28:$K$52, 2, TRUE))
    - ((A11 - 1) * ((1000) / ($B$1 - 1))),
  0),
IF($B$1&lt;=25,
  ROUND(
    (1016 + VLOOKUP($B$2, [1]Data!$J$28:$K$52, 2, TRUE))
    - ((A11 - 1) * ((1016 - 16) / ($B$1 - 1))),
  0),
  ROUND(
    (1017 + VLOOKUP($B$2, [1]Data!$J$28:$K$52, 2, TRUE))
    - ((A11 - 1) * ((1017 - 17) / ($B$1 - 1))),
  0)
))</f>
        <v>1043</v>
      </c>
    </row>
    <row r="12" spans="1:2" x14ac:dyDescent="0.25">
      <c r="A12" s="44">
        <v>7</v>
      </c>
      <c r="B12" s="44">
        <f>IF($B$1&lt;=15,
  ROUND(
    (1000 + $B$1 + VLOOKUP($B$2, [1]Data!$J$28:$K$52, 2, TRUE))
    - ((A12 - 1) * ((1000) / ($B$1 - 1))),
  0),
IF($B$1&lt;=25,
  ROUND(
    (1016 + VLOOKUP($B$2, [1]Data!$J$28:$K$52, 2, TRUE))
    - ((A12 - 1) * ((1016 - 16) / ($B$1 - 1))),
  0),
  ROUND(
    (1017 + VLOOKUP($B$2, [1]Data!$J$28:$K$52, 2, TRUE))
    - ((A12 - 1) * ((1017 - 17) / ($B$1 - 1))),
  0)
))</f>
        <v>1021</v>
      </c>
    </row>
    <row r="13" spans="1:2" x14ac:dyDescent="0.25">
      <c r="A13" s="44">
        <v>8</v>
      </c>
      <c r="B13" s="44">
        <f>IF($B$1&lt;=15,
  ROUND(
    (1000 + $B$1 + VLOOKUP($B$2, [1]Data!$J$28:$K$52, 2, TRUE))
    - ((A13 - 1) * ((1000) / ($B$1 - 1))),
  0),
IF($B$1&lt;=25,
  ROUND(
    (1016 + VLOOKUP($B$2, [1]Data!$J$28:$K$52, 2, TRUE))
    - ((A13 - 1) * ((1016 - 16) / ($B$1 - 1))),
  0),
  ROUND(
    (1017 + VLOOKUP($B$2, [1]Data!$J$28:$K$52, 2, TRUE))
    - ((A13 - 1) * ((1017 - 17) / ($B$1 - 1))),
  0)
))</f>
        <v>998</v>
      </c>
    </row>
    <row r="14" spans="1:2" x14ac:dyDescent="0.25">
      <c r="A14" s="44">
        <v>9</v>
      </c>
      <c r="B14" s="44">
        <f>IF($B$1&lt;=15,
  ROUND(
    (1000 + $B$1 + VLOOKUP($B$2, [1]Data!$J$28:$K$52, 2, TRUE))
    - ((A14 - 1) * ((1000) / ($B$1 - 1))),
  0),
IF($B$1&lt;=25,
  ROUND(
    (1016 + VLOOKUP($B$2, [1]Data!$J$28:$K$52, 2, TRUE))
    - ((A14 - 1) * ((1016 - 16) / ($B$1 - 1))),
  0),
  ROUND(
    (1017 + VLOOKUP($B$2, [1]Data!$J$28:$K$52, 2, TRUE))
    - ((A14 - 1) * ((1017 - 17) / ($B$1 - 1))),
  0)
))</f>
        <v>975</v>
      </c>
    </row>
    <row r="15" spans="1:2" x14ac:dyDescent="0.25">
      <c r="A15" s="44">
        <v>10</v>
      </c>
      <c r="B15" s="44">
        <f>IF($B$1&lt;=15,
  ROUND(
    (1000 + $B$1 + VLOOKUP($B$2, [1]Data!$J$28:$K$52, 2, TRUE))
    - ((A15 - 1) * ((1000) / ($B$1 - 1))),
  0),
IF($B$1&lt;=25,
  ROUND(
    (1016 + VLOOKUP($B$2, [1]Data!$J$28:$K$52, 2, TRUE))
    - ((A15 - 1) * ((1016 - 16) / ($B$1 - 1))),
  0),
  ROUND(
    (1017 + VLOOKUP($B$2, [1]Data!$J$28:$K$52, 2, TRUE))
    - ((A15 - 1) * ((1017 - 17) / ($B$1 - 1))),
  0)
))</f>
        <v>952</v>
      </c>
    </row>
    <row r="16" spans="1:2" x14ac:dyDescent="0.25">
      <c r="A16" s="44">
        <v>11</v>
      </c>
      <c r="B16" s="44">
        <f>IF($B$1&lt;=15,
  ROUND(
    (1000 + $B$1 + VLOOKUP($B$2, [1]Data!$J$28:$K$52, 2, TRUE))
    - ((A16 - 1) * ((1000) / ($B$1 - 1))),
  0),
IF($B$1&lt;=25,
  ROUND(
    (1016 + VLOOKUP($B$2, [1]Data!$J$28:$K$52, 2, TRUE))
    - ((A16 - 1) * ((1016 - 16) / ($B$1 - 1))),
  0),
  ROUND(
    (1017 + VLOOKUP($B$2, [1]Data!$J$28:$K$52, 2, TRUE))
    - ((A16 - 1) * ((1017 - 17) / ($B$1 - 1))),
  0)
))</f>
        <v>930</v>
      </c>
    </row>
    <row r="17" spans="1:2" x14ac:dyDescent="0.25">
      <c r="A17" s="44">
        <v>12</v>
      </c>
      <c r="B17" s="44">
        <f>IF($B$1&lt;=15,
  ROUND(
    (1000 + $B$1 + VLOOKUP($B$2, [1]Data!$J$28:$K$52, 2, TRUE))
    - ((A17 - 1) * ((1000) / ($B$1 - 1))),
  0),
IF($B$1&lt;=25,
  ROUND(
    (1016 + VLOOKUP($B$2, [1]Data!$J$28:$K$52, 2, TRUE))
    - ((A17 - 1) * ((1016 - 16) / ($B$1 - 1))),
  0),
  ROUND(
    (1017 + VLOOKUP($B$2, [1]Data!$J$28:$K$52, 2, TRUE))
    - ((A17 - 1) * ((1017 - 17) / ($B$1 - 1))),
  0)
))</f>
        <v>907</v>
      </c>
    </row>
    <row r="18" spans="1:2" x14ac:dyDescent="0.25">
      <c r="A18" s="44">
        <v>13</v>
      </c>
      <c r="B18" s="44">
        <f>IF($B$1&lt;=15,
  ROUND(
    (1000 + $B$1 + VLOOKUP($B$2, [1]Data!$J$28:$K$52, 2, TRUE))
    - ((A18 - 1) * ((1000) / ($B$1 - 1))),
  0),
IF($B$1&lt;=25,
  ROUND(
    (1016 + VLOOKUP($B$2, [1]Data!$J$28:$K$52, 2, TRUE))
    - ((A18 - 1) * ((1016 - 16) / ($B$1 - 1))),
  0),
  ROUND(
    (1017 + VLOOKUP($B$2, [1]Data!$J$28:$K$52, 2, TRUE))
    - ((A18 - 1) * ((1017 - 17) / ($B$1 - 1))),
  0)
))</f>
        <v>884</v>
      </c>
    </row>
    <row r="19" spans="1:2" x14ac:dyDescent="0.25">
      <c r="A19" s="44">
        <v>14</v>
      </c>
      <c r="B19" s="44">
        <f>IF($B$1&lt;=15,
  ROUND(
    (1000 + $B$1 + VLOOKUP($B$2, [1]Data!$J$28:$K$52, 2, TRUE))
    - ((A19 - 1) * ((1000) / ($B$1 - 1))),
  0),
IF($B$1&lt;=25,
  ROUND(
    (1016 + VLOOKUP($B$2, [1]Data!$J$28:$K$52, 2, TRUE))
    - ((A19 - 1) * ((1016 - 16) / ($B$1 - 1))),
  0),
  ROUND(
    (1017 + VLOOKUP($B$2, [1]Data!$J$28:$K$52, 2, TRUE))
    - ((A19 - 1) * ((1017 - 17) / ($B$1 - 1))),
  0)
))</f>
        <v>862</v>
      </c>
    </row>
    <row r="20" spans="1:2" x14ac:dyDescent="0.25">
      <c r="A20" s="44">
        <v>15</v>
      </c>
      <c r="B20" s="44">
        <f>IF($B$1&lt;=15,
  ROUND(
    (1000 + $B$1 + VLOOKUP($B$2, [1]Data!$J$28:$K$52, 2, TRUE))
    - ((A20 - 1) * ((1000) / ($B$1 - 1))),
  0),
IF($B$1&lt;=25,
  ROUND(
    (1016 + VLOOKUP($B$2, [1]Data!$J$28:$K$52, 2, TRUE))
    - ((A20 - 1) * ((1016 - 16) / ($B$1 - 1))),
  0),
  ROUND(
    (1017 + VLOOKUP($B$2, [1]Data!$J$28:$K$52, 2, TRUE))
    - ((A20 - 1) * ((1017 - 17) / ($B$1 - 1))),
  0)
))</f>
        <v>839</v>
      </c>
    </row>
    <row r="21" spans="1:2" x14ac:dyDescent="0.25">
      <c r="A21" s="44">
        <v>16</v>
      </c>
      <c r="B21" s="44">
        <f>IF($B$1&lt;=15,
  ROUND(
    (1000 + $B$1 + VLOOKUP($B$2, [1]Data!$J$28:$K$52, 2, TRUE))
    - ((A21 - 1) * ((1000) / ($B$1 - 1))),
  0),
IF($B$1&lt;=25,
  ROUND(
    (1016 + VLOOKUP($B$2, [1]Data!$J$28:$K$52, 2, TRUE))
    - ((A21 - 1) * ((1016 - 16) / ($B$1 - 1))),
  0),
  ROUND(
    (1017 + VLOOKUP($B$2, [1]Data!$J$28:$K$52, 2, TRUE))
    - ((A21 - 1) * ((1017 - 17) / ($B$1 - 1))),
  0)
))</f>
        <v>816</v>
      </c>
    </row>
    <row r="22" spans="1:2" x14ac:dyDescent="0.25">
      <c r="A22" s="44">
        <v>17</v>
      </c>
      <c r="B22" s="44">
        <f>IF($B$1&lt;=15,
  ROUND(
    (1000 + $B$1 + VLOOKUP($B$2, [1]Data!$J$28:$K$52, 2, TRUE))
    - ((A22 - 1) * ((1000) / ($B$1 - 1))),
  0),
IF($B$1&lt;=25,
  ROUND(
    (1016 + VLOOKUP($B$2, [1]Data!$J$28:$K$52, 2, TRUE))
    - ((A22 - 1) * ((1016 - 16) / ($B$1 - 1))),
  0),
  ROUND(
    (1017 + VLOOKUP($B$2, [1]Data!$J$28:$K$52, 2, TRUE))
    - ((A22 - 1) * ((1017 - 17) / ($B$1 - 1))),
  0)
))</f>
        <v>793</v>
      </c>
    </row>
    <row r="23" spans="1:2" x14ac:dyDescent="0.25">
      <c r="A23" s="44">
        <v>18</v>
      </c>
      <c r="B23" s="44">
        <f>IF($B$1&lt;=15,
  ROUND(
    (1000 + $B$1 + VLOOKUP($B$2, [1]Data!$J$28:$K$52, 2, TRUE))
    - ((A23 - 1) * ((1000) / ($B$1 - 1))),
  0),
IF($B$1&lt;=25,
  ROUND(
    (1016 + VLOOKUP($B$2, [1]Data!$J$28:$K$52, 2, TRUE))
    - ((A23 - 1) * ((1016 - 16) / ($B$1 - 1))),
  0),
  ROUND(
    (1017 + VLOOKUP($B$2, [1]Data!$J$28:$K$52, 2, TRUE))
    - ((A23 - 1) * ((1017 - 17) / ($B$1 - 1))),
  0)
))</f>
        <v>771</v>
      </c>
    </row>
    <row r="24" spans="1:2" x14ac:dyDescent="0.25">
      <c r="A24" s="44">
        <v>19</v>
      </c>
      <c r="B24" s="44">
        <f>IF($B$1&lt;=15,
  ROUND(
    (1000 + $B$1 + VLOOKUP($B$2, [1]Data!$J$28:$K$52, 2, TRUE))
    - ((A24 - 1) * ((1000) / ($B$1 - 1))),
  0),
IF($B$1&lt;=25,
  ROUND(
    (1016 + VLOOKUP($B$2, [1]Data!$J$28:$K$52, 2, TRUE))
    - ((A24 - 1) * ((1016 - 16) / ($B$1 - 1))),
  0),
  ROUND(
    (1017 + VLOOKUP($B$2, [1]Data!$J$28:$K$52, 2, TRUE))
    - ((A24 - 1) * ((1017 - 17) / ($B$1 - 1))),
  0)
))</f>
        <v>748</v>
      </c>
    </row>
    <row r="25" spans="1:2" x14ac:dyDescent="0.25">
      <c r="A25" s="44">
        <v>20</v>
      </c>
      <c r="B25" s="44">
        <f>IF($B$1&lt;=15,
  ROUND(
    (1000 + $B$1 + VLOOKUP($B$2, [1]Data!$J$28:$K$52, 2, TRUE))
    - ((A25 - 1) * ((1000) / ($B$1 - 1))),
  0),
IF($B$1&lt;=25,
  ROUND(
    (1016 + VLOOKUP($B$2, [1]Data!$J$28:$K$52, 2, TRUE))
    - ((A25 - 1) * ((1016 - 16) / ($B$1 - 1))),
  0),
  ROUND(
    (1017 + VLOOKUP($B$2, [1]Data!$J$28:$K$52, 2, TRUE))
    - ((A25 - 1) * ((1017 - 17) / ($B$1 - 1))),
  0)
))</f>
        <v>725</v>
      </c>
    </row>
    <row r="26" spans="1:2" x14ac:dyDescent="0.25">
      <c r="A26" s="44">
        <v>21</v>
      </c>
      <c r="B26" s="44">
        <f>IF($B$1&lt;=15,
  ROUND(
    (1000 + $B$1 + VLOOKUP($B$2, [1]Data!$J$28:$K$52, 2, TRUE))
    - ((A26 - 1) * ((1000) / ($B$1 - 1))),
  0),
IF($B$1&lt;=25,
  ROUND(
    (1016 + VLOOKUP($B$2, [1]Data!$J$28:$K$52, 2, TRUE))
    - ((A26 - 1) * ((1016 - 16) / ($B$1 - 1))),
  0),
  ROUND(
    (1017 + VLOOKUP($B$2, [1]Data!$J$28:$K$52, 2, TRUE))
    - ((A26 - 1) * ((1017 - 17) / ($B$1 - 1))),
  0)
))</f>
        <v>702</v>
      </c>
    </row>
    <row r="27" spans="1:2" x14ac:dyDescent="0.25">
      <c r="A27" s="44">
        <v>22</v>
      </c>
      <c r="B27" s="44">
        <f>IF($B$1&lt;=15,
  ROUND(
    (1000 + $B$1 + VLOOKUP($B$2, [1]Data!$J$28:$K$52, 2, TRUE))
    - ((A27 - 1) * ((1000) / ($B$1 - 1))),
  0),
IF($B$1&lt;=25,
  ROUND(
    (1016 + VLOOKUP($B$2, [1]Data!$J$28:$K$52, 2, TRUE))
    - ((A27 - 1) * ((1016 - 16) / ($B$1 - 1))),
  0),
  ROUND(
    (1017 + VLOOKUP($B$2, [1]Data!$J$28:$K$52, 2, TRUE))
    - ((A27 - 1) * ((1017 - 17) / ($B$1 - 1))),
  0)
))</f>
        <v>680</v>
      </c>
    </row>
    <row r="28" spans="1:2" x14ac:dyDescent="0.25">
      <c r="A28" s="44">
        <v>23</v>
      </c>
      <c r="B28" s="44">
        <f>IF($B$1&lt;=15,
  ROUND(
    (1000 + $B$1 + VLOOKUP($B$2, [1]Data!$J$28:$K$52, 2, TRUE))
    - ((A28 - 1) * ((1000) / ($B$1 - 1))),
  0),
IF($B$1&lt;=25,
  ROUND(
    (1016 + VLOOKUP($B$2, [1]Data!$J$28:$K$52, 2, TRUE))
    - ((A28 - 1) * ((1016 - 16) / ($B$1 - 1))),
  0),
  ROUND(
    (1017 + VLOOKUP($B$2, [1]Data!$J$28:$K$52, 2, TRUE))
    - ((A28 - 1) * ((1017 - 17) / ($B$1 - 1))),
  0)
))</f>
        <v>657</v>
      </c>
    </row>
    <row r="29" spans="1:2" x14ac:dyDescent="0.25">
      <c r="A29" s="44">
        <v>24</v>
      </c>
      <c r="B29" s="44">
        <f>IF($B$1&lt;=15,
  ROUND(
    (1000 + $B$1 + VLOOKUP($B$2, [1]Data!$J$28:$K$52, 2, TRUE))
    - ((A29 - 1) * ((1000) / ($B$1 - 1))),
  0),
IF($B$1&lt;=25,
  ROUND(
    (1016 + VLOOKUP($B$2, [1]Data!$J$28:$K$52, 2, TRUE))
    - ((A29 - 1) * ((1016 - 16) / ($B$1 - 1))),
  0),
  ROUND(
    (1017 + VLOOKUP($B$2, [1]Data!$J$28:$K$52, 2, TRUE))
    - ((A29 - 1) * ((1017 - 17) / ($B$1 - 1))),
  0)
))</f>
        <v>634</v>
      </c>
    </row>
    <row r="30" spans="1:2" x14ac:dyDescent="0.25">
      <c r="A30" s="44">
        <v>25</v>
      </c>
      <c r="B30" s="44">
        <f>IF($B$1&lt;=15,
  ROUND(
    (1000 + $B$1 + VLOOKUP($B$2, [1]Data!$J$28:$K$52, 2, TRUE))
    - ((A30 - 1) * ((1000) / ($B$1 - 1))),
  0),
IF($B$1&lt;=25,
  ROUND(
    (1016 + VLOOKUP($B$2, [1]Data!$J$28:$K$52, 2, TRUE))
    - ((A30 - 1) * ((1016 - 16) / ($B$1 - 1))),
  0),
  ROUND(
    (1017 + VLOOKUP($B$2, [1]Data!$J$28:$K$52, 2, TRUE))
    - ((A30 - 1) * ((1017 - 17) / ($B$1 - 1))),
  0)
))</f>
        <v>612</v>
      </c>
    </row>
    <row r="31" spans="1:2" x14ac:dyDescent="0.25">
      <c r="A31" s="44">
        <v>26</v>
      </c>
      <c r="B31" s="44">
        <f>IF($B$1&lt;=15,
  ROUND(
    (1000 + $B$1 + VLOOKUP($B$2, [1]Data!$J$28:$K$52, 2, TRUE))
    - ((A31 - 1) * ((1000) / ($B$1 - 1))),
  0),
IF($B$1&lt;=25,
  ROUND(
    (1016 + VLOOKUP($B$2, [1]Data!$J$28:$K$52, 2, TRUE))
    - ((A31 - 1) * ((1016 - 16) / ($B$1 - 1))),
  0),
  ROUND(
    (1017 + VLOOKUP($B$2, [1]Data!$J$28:$K$52, 2, TRUE))
    - ((A31 - 1) * ((1017 - 17) / ($B$1 - 1))),
  0)
))</f>
        <v>589</v>
      </c>
    </row>
    <row r="32" spans="1:2" x14ac:dyDescent="0.25">
      <c r="A32" s="44">
        <v>27</v>
      </c>
      <c r="B32" s="44">
        <f>IF($B$1&lt;=15,
  ROUND(
    (1000 + $B$1 + VLOOKUP($B$2, [1]Data!$J$28:$K$52, 2, TRUE))
    - ((A32 - 1) * ((1000) / ($B$1 - 1))),
  0),
IF($B$1&lt;=25,
  ROUND(
    (1016 + VLOOKUP($B$2, [1]Data!$J$28:$K$52, 2, TRUE))
    - ((A32 - 1) * ((1016 - 16) / ($B$1 - 1))),
  0),
  ROUND(
    (1017 + VLOOKUP($B$2, [1]Data!$J$28:$K$52, 2, TRUE))
    - ((A32 - 1) * ((1017 - 17) / ($B$1 - 1))),
  0)
))</f>
        <v>566</v>
      </c>
    </row>
    <row r="33" spans="1:2" x14ac:dyDescent="0.25">
      <c r="A33" s="44">
        <v>28</v>
      </c>
      <c r="B33" s="44">
        <f>IF($B$1&lt;=15,
  ROUND(
    (1000 + $B$1 + VLOOKUP($B$2, [1]Data!$J$28:$K$52, 2, TRUE))
    - ((A33 - 1) * ((1000) / ($B$1 - 1))),
  0),
IF($B$1&lt;=25,
  ROUND(
    (1016 + VLOOKUP($B$2, [1]Data!$J$28:$K$52, 2, TRUE))
    - ((A33 - 1) * ((1016 - 16) / ($B$1 - 1))),
  0),
  ROUND(
    (1017 + VLOOKUP($B$2, [1]Data!$J$28:$K$52, 2, TRUE))
    - ((A33 - 1) * ((1017 - 17) / ($B$1 - 1))),
  0)
))</f>
        <v>543</v>
      </c>
    </row>
    <row r="34" spans="1:2" x14ac:dyDescent="0.25">
      <c r="A34" s="44">
        <v>29</v>
      </c>
      <c r="B34" s="44">
        <f>IF($B$1&lt;=15,
  ROUND(
    (1000 + $B$1 + VLOOKUP($B$2, [1]Data!$J$28:$K$52, 2, TRUE))
    - ((A34 - 1) * ((1000) / ($B$1 - 1))),
  0),
IF($B$1&lt;=25,
  ROUND(
    (1016 + VLOOKUP($B$2, [1]Data!$J$28:$K$52, 2, TRUE))
    - ((A34 - 1) * ((1016 - 16) / ($B$1 - 1))),
  0),
  ROUND(
    (1017 + VLOOKUP($B$2, [1]Data!$J$28:$K$52, 2, TRUE))
    - ((A34 - 1) * ((1017 - 17) / ($B$1 - 1))),
  0)
))</f>
        <v>521</v>
      </c>
    </row>
    <row r="35" spans="1:2" x14ac:dyDescent="0.25">
      <c r="A35" s="44">
        <v>30</v>
      </c>
      <c r="B35" s="44">
        <f>IF($B$1&lt;=15,
  ROUND(
    (1000 + $B$1 + VLOOKUP($B$2, [1]Data!$J$28:$K$52, 2, TRUE))
    - ((A35 - 1) * ((1000) / ($B$1 - 1))),
  0),
IF($B$1&lt;=25,
  ROUND(
    (1016 + VLOOKUP($B$2, [1]Data!$J$28:$K$52, 2, TRUE))
    - ((A35 - 1) * ((1016 - 16) / ($B$1 - 1))),
  0),
  ROUND(
    (1017 + VLOOKUP($B$2, [1]Data!$J$28:$K$52, 2, TRUE))
    - ((A35 - 1) * ((1017 - 17) / ($B$1 - 1))),
  0)
))</f>
        <v>498</v>
      </c>
    </row>
    <row r="36" spans="1:2" x14ac:dyDescent="0.25">
      <c r="A36" s="44">
        <v>31</v>
      </c>
      <c r="B36" s="44">
        <f>IF($B$1&lt;=15,
  ROUND(
    (1000 + $B$1 + VLOOKUP($B$2, [1]Data!$J$28:$K$52, 2, TRUE))
    - ((A36 - 1) * ((1000) / ($B$1 - 1))),
  0),
IF($B$1&lt;=25,
  ROUND(
    (1016 + VLOOKUP($B$2, [1]Data!$J$28:$K$52, 2, TRUE))
    - ((A36 - 1) * ((1016 - 16) / ($B$1 - 1))),
  0),
  ROUND(
    (1017 + VLOOKUP($B$2, [1]Data!$J$28:$K$52, 2, TRUE))
    - ((A36 - 1) * ((1017 - 17) / ($B$1 - 1))),
  0)
))</f>
        <v>475</v>
      </c>
    </row>
    <row r="37" spans="1:2" x14ac:dyDescent="0.25">
      <c r="A37" s="44">
        <v>32</v>
      </c>
      <c r="B37" s="44">
        <f>IF($B$1&lt;=15,
  ROUND(
    (1000 + $B$1 + VLOOKUP($B$2, [1]Data!$J$28:$K$52, 2, TRUE))
    - ((A37 - 1) * ((1000) / ($B$1 - 1))),
  0),
IF($B$1&lt;=25,
  ROUND(
    (1016 + VLOOKUP($B$2, [1]Data!$J$28:$K$52, 2, TRUE))
    - ((A37 - 1) * ((1016 - 16) / ($B$1 - 1))),
  0),
  ROUND(
    (1017 + VLOOKUP($B$2, [1]Data!$J$28:$K$52, 2, TRUE))
    - ((A37 - 1) * ((1017 - 17) / ($B$1 - 1))),
  0)
))</f>
        <v>452</v>
      </c>
    </row>
    <row r="38" spans="1:2" x14ac:dyDescent="0.25">
      <c r="A38" s="44">
        <v>33</v>
      </c>
      <c r="B38" s="44">
        <f>IF($B$1&lt;=15,
  ROUND(
    (1000 + $B$1 + VLOOKUP($B$2, [1]Data!$J$28:$K$52, 2, TRUE))
    - ((A38 - 1) * ((1000) / ($B$1 - 1))),
  0),
IF($B$1&lt;=25,
  ROUND(
    (1016 + VLOOKUP($B$2, [1]Data!$J$28:$K$52, 2, TRUE))
    - ((A38 - 1) * ((1016 - 16) / ($B$1 - 1))),
  0),
  ROUND(
    (1017 + VLOOKUP($B$2, [1]Data!$J$28:$K$52, 2, TRUE))
    - ((A38 - 1) * ((1017 - 17) / ($B$1 - 1))),
  0)
))</f>
        <v>430</v>
      </c>
    </row>
    <row r="39" spans="1:2" x14ac:dyDescent="0.25">
      <c r="A39" s="44">
        <v>34</v>
      </c>
      <c r="B39" s="44">
        <f>IF($B$1&lt;=15,
  ROUND(
    (1000 + $B$1 + VLOOKUP($B$2, [1]Data!$J$28:$K$52, 2, TRUE))
    - ((A39 - 1) * ((1000) / ($B$1 - 1))),
  0),
IF($B$1&lt;=25,
  ROUND(
    (1016 + VLOOKUP($B$2, [1]Data!$J$28:$K$52, 2, TRUE))
    - ((A39 - 1) * ((1016 - 16) / ($B$1 - 1))),
  0),
  ROUND(
    (1017 + VLOOKUP($B$2, [1]Data!$J$28:$K$52, 2, TRUE))
    - ((A39 - 1) * ((1017 - 17) / ($B$1 - 1))),
  0)
))</f>
        <v>407</v>
      </c>
    </row>
    <row r="40" spans="1:2" x14ac:dyDescent="0.25">
      <c r="A40" s="44">
        <v>35</v>
      </c>
      <c r="B40" s="44">
        <f>IF($B$1&lt;=15,
  ROUND(
    (1000 + $B$1 + VLOOKUP($B$2, [1]Data!$J$28:$K$52, 2, TRUE))
    - ((A40 - 1) * ((1000) / ($B$1 - 1))),
  0),
IF($B$1&lt;=25,
  ROUND(
    (1016 + VLOOKUP($B$2, [1]Data!$J$28:$K$52, 2, TRUE))
    - ((A40 - 1) * ((1016 - 16) / ($B$1 - 1))),
  0),
  ROUND(
    (1017 + VLOOKUP($B$2, [1]Data!$J$28:$K$52, 2, TRUE))
    - ((A40 - 1) * ((1017 - 17) / ($B$1 - 1))),
  0)
))</f>
        <v>384</v>
      </c>
    </row>
    <row r="41" spans="1:2" x14ac:dyDescent="0.25">
      <c r="A41" s="44">
        <v>36</v>
      </c>
      <c r="B41" s="44">
        <f>IF($B$1&lt;=15,
  ROUND(
    (1000 + $B$1 + VLOOKUP($B$2, [1]Data!$J$28:$K$52, 2, TRUE))
    - ((A41 - 1) * ((1000) / ($B$1 - 1))),
  0),
IF($B$1&lt;=25,
  ROUND(
    (1016 + VLOOKUP($B$2, [1]Data!$J$28:$K$52, 2, TRUE))
    - ((A41 - 1) * ((1016 - 16) / ($B$1 - 1))),
  0),
  ROUND(
    (1017 + VLOOKUP($B$2, [1]Data!$J$28:$K$52, 2, TRUE))
    - ((A41 - 1) * ((1017 - 17) / ($B$1 - 1))),
  0)
))</f>
        <v>362</v>
      </c>
    </row>
    <row r="42" spans="1:2" x14ac:dyDescent="0.25">
      <c r="A42" s="44">
        <v>37</v>
      </c>
      <c r="B42" s="44">
        <f>IF($B$1&lt;=15,
  ROUND(
    (1000 + $B$1 + VLOOKUP($B$2, [1]Data!$J$28:$K$52, 2, TRUE))
    - ((A42 - 1) * ((1000) / ($B$1 - 1))),
  0),
IF($B$1&lt;=25,
  ROUND(
    (1016 + VLOOKUP($B$2, [1]Data!$J$28:$K$52, 2, TRUE))
    - ((A42 - 1) * ((1016 - 16) / ($B$1 - 1))),
  0),
  ROUND(
    (1017 + VLOOKUP($B$2, [1]Data!$J$28:$K$52, 2, TRUE))
    - ((A42 - 1) * ((1017 - 17) / ($B$1 - 1))),
  0)
))</f>
        <v>339</v>
      </c>
    </row>
    <row r="43" spans="1:2" x14ac:dyDescent="0.25">
      <c r="A43" s="44">
        <v>38</v>
      </c>
      <c r="B43" s="44">
        <f>IF($B$1&lt;=15,
  ROUND(
    (1000 + $B$1 + VLOOKUP($B$2, [1]Data!$J$28:$K$52, 2, TRUE))
    - ((A43 - 1) * ((1000) / ($B$1 - 1))),
  0),
IF($B$1&lt;=25,
  ROUND(
    (1016 + VLOOKUP($B$2, [1]Data!$J$28:$K$52, 2, TRUE))
    - ((A43 - 1) * ((1016 - 16) / ($B$1 - 1))),
  0),
  ROUND(
    (1017 + VLOOKUP($B$2, [1]Data!$J$28:$K$52, 2, TRUE))
    - ((A43 - 1) * ((1017 - 17) / ($B$1 - 1))),
  0)
))</f>
        <v>316</v>
      </c>
    </row>
    <row r="44" spans="1:2" x14ac:dyDescent="0.25">
      <c r="A44" s="44">
        <v>39</v>
      </c>
      <c r="B44" s="44">
        <f>IF($B$1&lt;=15,
  ROUND(
    (1000 + $B$1 + VLOOKUP($B$2, [1]Data!$J$28:$K$52, 2, TRUE))
    - ((A44 - 1) * ((1000) / ($B$1 - 1))),
  0),
IF($B$1&lt;=25,
  ROUND(
    (1016 + VLOOKUP($B$2, [1]Data!$J$28:$K$52, 2, TRUE))
    - ((A44 - 1) * ((1016 - 16) / ($B$1 - 1))),
  0),
  ROUND(
    (1017 + VLOOKUP($B$2, [1]Data!$J$28:$K$52, 2, TRUE))
    - ((A44 - 1) * ((1017 - 17) / ($B$1 - 1))),
  0)
))</f>
        <v>293</v>
      </c>
    </row>
    <row r="45" spans="1:2" x14ac:dyDescent="0.25">
      <c r="A45" s="44">
        <v>40</v>
      </c>
      <c r="B45" s="44">
        <f>IF($B$1&lt;=15,
  ROUND(
    (1000 + $B$1 + VLOOKUP($B$2, [1]Data!$J$28:$K$52, 2, TRUE))
    - ((A45 - 1) * ((1000) / ($B$1 - 1))),
  0),
IF($B$1&lt;=25,
  ROUND(
    (1016 + VLOOKUP($B$2, [1]Data!$J$28:$K$52, 2, TRUE))
    - ((A45 - 1) * ((1016 - 16) / ($B$1 - 1))),
  0),
  ROUND(
    (1017 + VLOOKUP($B$2, [1]Data!$J$28:$K$52, 2, TRUE))
    - ((A45 - 1) * ((1017 - 17) / ($B$1 - 1))),
  0)
))</f>
        <v>271</v>
      </c>
    </row>
    <row r="46" spans="1:2" x14ac:dyDescent="0.25">
      <c r="A46" s="44">
        <v>41</v>
      </c>
      <c r="B46" s="44">
        <f>IF($B$1&lt;=15,
  ROUND(
    (1000 + $B$1 + VLOOKUP($B$2, [1]Data!$J$28:$K$52, 2, TRUE))
    - ((A46 - 1) * ((1000) / ($B$1 - 1))),
  0),
IF($B$1&lt;=25,
  ROUND(
    (1016 + VLOOKUP($B$2, [1]Data!$J$28:$K$52, 2, TRUE))
    - ((A46 - 1) * ((1016 - 16) / ($B$1 - 1))),
  0),
  ROUND(
    (1017 + VLOOKUP($B$2, [1]Data!$J$28:$K$52, 2, TRUE))
    - ((A46 - 1) * ((1017 - 17) / ($B$1 - 1))),
  0)
))</f>
        <v>248</v>
      </c>
    </row>
    <row r="47" spans="1:2" x14ac:dyDescent="0.25">
      <c r="A47" s="44">
        <v>42</v>
      </c>
      <c r="B47" s="44">
        <f>IF($B$1&lt;=15,
  ROUND(
    (1000 + $B$1 + VLOOKUP($B$2, [1]Data!$J$28:$K$52, 2, TRUE))
    - ((A47 - 1) * ((1000) / ($B$1 - 1))),
  0),
IF($B$1&lt;=25,
  ROUND(
    (1016 + VLOOKUP($B$2, [1]Data!$J$28:$K$52, 2, TRUE))
    - ((A47 - 1) * ((1016 - 16) / ($B$1 - 1))),
  0),
  ROUND(
    (1017 + VLOOKUP($B$2, [1]Data!$J$28:$K$52, 2, TRUE))
    - ((A47 - 1) * ((1017 - 17) / ($B$1 - 1))),
  0)
))</f>
        <v>225</v>
      </c>
    </row>
    <row r="48" spans="1:2" x14ac:dyDescent="0.25">
      <c r="A48" s="44">
        <v>43</v>
      </c>
      <c r="B48" s="44">
        <f>IF($B$1&lt;=15,
  ROUND(
    (1000 + $B$1 + VLOOKUP($B$2, [1]Data!$J$28:$K$52, 2, TRUE))
    - ((A48 - 1) * ((1000) / ($B$1 - 1))),
  0),
IF($B$1&lt;=25,
  ROUND(
    (1016 + VLOOKUP($B$2, [1]Data!$J$28:$K$52, 2, TRUE))
    - ((A48 - 1) * ((1016 - 16) / ($B$1 - 1))),
  0),
  ROUND(
    (1017 + VLOOKUP($B$2, [1]Data!$J$28:$K$52, 2, TRUE))
    - ((A48 - 1) * ((1017 - 17) / ($B$1 - 1))),
  0)
))</f>
        <v>202</v>
      </c>
    </row>
    <row r="49" spans="1:2" x14ac:dyDescent="0.25">
      <c r="A49" s="44">
        <v>44</v>
      </c>
      <c r="B49" s="44">
        <f>IF($B$1&lt;=15,
  ROUND(
    (1000 + $B$1 + VLOOKUP($B$2, [1]Data!$J$28:$K$52, 2, TRUE))
    - ((A49 - 1) * ((1000) / ($B$1 - 1))),
  0),
IF($B$1&lt;=25,
  ROUND(
    (1016 + VLOOKUP($B$2, [1]Data!$J$28:$K$52, 2, TRUE))
    - ((A49 - 1) * ((1016 - 16) / ($B$1 - 1))),
  0),
  ROUND(
    (1017 + VLOOKUP($B$2, [1]Data!$J$28:$K$52, 2, TRUE))
    - ((A49 - 1) * ((1017 - 17) / ($B$1 - 1))),
  0)
))</f>
        <v>180</v>
      </c>
    </row>
    <row r="50" spans="1:2" x14ac:dyDescent="0.25">
      <c r="A50" s="44">
        <v>45</v>
      </c>
      <c r="B50" s="44">
        <f>IF($B$1&lt;=15,
  ROUND(
    (1000 + $B$1 + VLOOKUP($B$2, [1]Data!$J$28:$K$52, 2, TRUE))
    - ((A50 - 1) * ((1000) / ($B$1 - 1))),
  0),
IF($B$1&lt;=25,
  ROUND(
    (1016 + VLOOKUP($B$2, [1]Data!$J$28:$K$52, 2, TRUE))
    - ((A50 - 1) * ((1016 - 16) / ($B$1 - 1))),
  0),
  ROUND(
    (1017 + VLOOKUP($B$2, [1]Data!$J$28:$K$52, 2, TRUE))
    - ((A50 - 1) * ((1017 - 17) / ($B$1 - 1))),
  0)
))</f>
        <v>157</v>
      </c>
    </row>
    <row r="51" spans="1:2" x14ac:dyDescent="0.25">
      <c r="A51" s="44">
        <v>46</v>
      </c>
      <c r="B51" s="44">
        <f>IF($B$1&lt;=15,
  ROUND(
    (1000 + $B$1 + VLOOKUP($B$2, [1]Data!$J$28:$K$52, 2, TRUE))
    - ((A51 - 1) * ((1000) / ($B$1 - 1))),
  0),
IF($B$1&lt;=25,
  ROUND(
    (1016 + VLOOKUP($B$2, [1]Data!$J$28:$K$52, 2, TRUE))
    - ((A51 - 1) * ((1016 - 16) / ($B$1 - 1))),
  0),
  ROUND(
    (1017 + VLOOKUP($B$2, [1]Data!$J$28:$K$52, 2, TRUE))
    - ((A51 - 1) * ((1017 - 17) / ($B$1 - 1))),
  0)
))</f>
        <v>134</v>
      </c>
    </row>
    <row r="52" spans="1:2" x14ac:dyDescent="0.25">
      <c r="A52" s="44">
        <v>47</v>
      </c>
      <c r="B52" s="44">
        <f>IF($B$1&lt;=15,
  ROUND(
    (1000 + $B$1 + VLOOKUP($B$2, [1]Data!$J$28:$K$52, 2, TRUE))
    - ((A52 - 1) * ((1000) / ($B$1 - 1))),
  0),
IF($B$1&lt;=25,
  ROUND(
    (1016 + VLOOKUP($B$2, [1]Data!$J$28:$K$52, 2, TRUE))
    - ((A52 - 1) * ((1016 - 16) / ($B$1 - 1))),
  0),
  ROUND(
    (1017 + VLOOKUP($B$2, [1]Data!$J$28:$K$52, 2, TRUE))
    - ((A52 - 1) * ((1017 - 17) / ($B$1 - 1))),
  0)
))</f>
        <v>112</v>
      </c>
    </row>
    <row r="53" spans="1:2" x14ac:dyDescent="0.25">
      <c r="A53" s="44">
        <v>48</v>
      </c>
      <c r="B53" s="44">
        <f>IF($B$1&lt;=15,
  ROUND(
    (1000 + $B$1 + VLOOKUP($B$2, [1]Data!$J$28:$K$52, 2, TRUE))
    - ((A53 - 1) * ((1000) / ($B$1 - 1))),
  0),
IF($B$1&lt;=25,
  ROUND(
    (1016 + VLOOKUP($B$2, [1]Data!$J$28:$K$52, 2, TRUE))
    - ((A53 - 1) * ((1016 - 16) / ($B$1 - 1))),
  0),
  ROUND(
    (1017 + VLOOKUP($B$2, [1]Data!$J$28:$K$52, 2, TRUE))
    - ((A53 - 1) * ((1017 - 17) / ($B$1 - 1))),
  0)
))</f>
        <v>89</v>
      </c>
    </row>
    <row r="54" spans="1:2" x14ac:dyDescent="0.25">
      <c r="A54" s="44">
        <v>49</v>
      </c>
      <c r="B54" s="44">
        <f>IF($B$1&lt;=15,
  ROUND(
    (1000 + $B$1 + VLOOKUP($B$2, [1]Data!$J$28:$K$52, 2, TRUE))
    - ((A54 - 1) * ((1000) / ($B$1 - 1))),
  0),
IF($B$1&lt;=25,
  ROUND(
    (1016 + VLOOKUP($B$2, [1]Data!$J$28:$K$52, 2, TRUE))
    - ((A54 - 1) * ((1016 - 16) / ($B$1 - 1))),
  0),
  ROUND(
    (1017 + VLOOKUP($B$2, [1]Data!$J$28:$K$52, 2, TRUE))
    - ((A54 - 1) * ((1017 - 17) / ($B$1 - 1))),
  0)
))</f>
        <v>66</v>
      </c>
    </row>
    <row r="55" spans="1:2" x14ac:dyDescent="0.25">
      <c r="A55" s="44">
        <v>50</v>
      </c>
      <c r="B55" s="44">
        <f>IF($B$1&lt;=15,
  ROUND(
    (1000 + $B$1 + VLOOKUP($B$2, [1]Data!$J$28:$K$52, 2, TRUE))
    - ((A55 - 1) * ((1000) / ($B$1 - 1))),
  0),
IF($B$1&lt;=25,
  ROUND(
    (1016 + VLOOKUP($B$2, [1]Data!$J$28:$K$52, 2, TRUE))
    - ((A55 - 1) * ((1016 - 16) / ($B$1 - 1))),
  0),
  ROUND(
    (1017 + VLOOKUP($B$2, [1]Data!$J$28:$K$52, 2, TRUE))
    - ((A55 - 1) * ((1017 - 17) / ($B$1 - 1))),
  0)
))</f>
        <v>43</v>
      </c>
    </row>
    <row r="56" spans="1:2" x14ac:dyDescent="0.25">
      <c r="A56" s="44">
        <v>51</v>
      </c>
      <c r="B56" s="44">
        <f>IF($B$1&lt;=15,
  ROUND(
    (1000 + $B$1 + VLOOKUP($B$2, [1]Data!$J$28:$K$52, 2, TRUE))
    - ((A56 - 1) * ((1000) / ($B$1 - 1))),
  0),
IF($B$1&lt;=25,
  ROUND(
    (1016 + VLOOKUP($B$2, [1]Data!$J$28:$K$52, 2, TRUE))
    - ((A56 - 1) * ((1016 - 16) / ($B$1 - 1))),
  0),
  ROUND(
    (1017 + VLOOKUP($B$2, [1]Data!$J$28:$K$52, 2, TRUE))
    - ((A56 - 1) * ((1017 - 17) / ($B$1 - 1))),
  0)
))</f>
        <v>21</v>
      </c>
    </row>
    <row r="57" spans="1:2" x14ac:dyDescent="0.25">
      <c r="A57" s="44">
        <v>52</v>
      </c>
      <c r="B57" s="44">
        <f>IF($B$1&lt;=15,
  ROUND(
    (1000 + $B$1 + VLOOKUP($B$2, [1]Data!$J$28:$K$52, 2, TRUE))
    - ((A57 - 1) * ((1000) / ($B$1 - 1))),
  0),
IF($B$1&lt;=25,
  ROUND(
    (1016 + VLOOKUP($B$2, [1]Data!$J$28:$K$52, 2, TRUE))
    - ((A57 - 1) * ((1016 - 16) / ($B$1 - 1))),
  0),
  ROUND(
    (1017 + VLOOKUP($B$2, [1]Data!$J$28:$K$52, 2, TRUE))
    - ((A57 - 1) * ((1017 - 17) / ($B$1 - 1))),
  0)
))</f>
        <v>-2</v>
      </c>
    </row>
    <row r="58" spans="1:2" x14ac:dyDescent="0.25">
      <c r="A58" s="44">
        <v>53</v>
      </c>
      <c r="B58" s="44">
        <f>IF($B$1&lt;=15,
  ROUND(
    (1000 + $B$1 + VLOOKUP($B$2, [1]Data!$J$28:$K$52, 2, TRUE))
    - ((A58 - 1) * ((1000) / ($B$1 - 1))),
  0),
IF($B$1&lt;=25,
  ROUND(
    (1016 + VLOOKUP($B$2, [1]Data!$J$28:$K$52, 2, TRUE))
    - ((A58 - 1) * ((1016 - 16) / ($B$1 - 1))),
  0),
  ROUND(
    (1017 + VLOOKUP($B$2, [1]Data!$J$28:$K$52, 2, TRUE))
    - ((A58 - 1) * ((1017 - 17) / ($B$1 - 1))),
  0)
))</f>
        <v>-25</v>
      </c>
    </row>
    <row r="59" spans="1:2" x14ac:dyDescent="0.25">
      <c r="A59" s="44">
        <v>54</v>
      </c>
      <c r="B59" s="44">
        <f>IF($B$1&lt;=15,
  ROUND(
    (1000 + $B$1 + VLOOKUP($B$2, [1]Data!$J$28:$K$52, 2, TRUE))
    - ((A59 - 1) * ((1000) / ($B$1 - 1))),
  0),
IF($B$1&lt;=25,
  ROUND(
    (1016 + VLOOKUP($B$2, [1]Data!$J$28:$K$52, 2, TRUE))
    - ((A59 - 1) * ((1016 - 16) / ($B$1 - 1))),
  0),
  ROUND(
    (1017 + VLOOKUP($B$2, [1]Data!$J$28:$K$52, 2, TRUE))
    - ((A59 - 1) * ((1017 - 17) / ($B$1 - 1))),
  0)
))</f>
        <v>-48</v>
      </c>
    </row>
    <row r="60" spans="1:2" x14ac:dyDescent="0.25">
      <c r="A60" s="44">
        <v>55</v>
      </c>
      <c r="B60" s="44">
        <f>IF($B$1&lt;=15,
  ROUND(
    (1000 + $B$1 + VLOOKUP($B$2, [1]Data!$J$28:$K$52, 2, TRUE))
    - ((A60 - 1) * ((1000) / ($B$1 - 1))),
  0),
IF($B$1&lt;=25,
  ROUND(
    (1016 + VLOOKUP($B$2, [1]Data!$J$28:$K$52, 2, TRUE))
    - ((A60 - 1) * ((1016 - 16) / ($B$1 - 1))),
  0),
  ROUND(
    (1017 + VLOOKUP($B$2, [1]Data!$J$28:$K$52, 2, TRUE))
    - ((A60 - 1) * ((1017 - 17) / ($B$1 - 1))),
  0)
))</f>
        <v>-70</v>
      </c>
    </row>
    <row r="61" spans="1:2" x14ac:dyDescent="0.25">
      <c r="A61" s="44">
        <v>56</v>
      </c>
      <c r="B61" s="44">
        <f>IF($B$1&lt;=15,
  ROUND(
    (1000 + $B$1 + VLOOKUP($B$2, [1]Data!$J$28:$K$52, 2, TRUE))
    - ((A61 - 1) * ((1000) / ($B$1 - 1))),
  0),
IF($B$1&lt;=25,
  ROUND(
    (1016 + VLOOKUP($B$2, [1]Data!$J$28:$K$52, 2, TRUE))
    - ((A61 - 1) * ((1016 - 16) / ($B$1 - 1))),
  0),
  ROUND(
    (1017 + VLOOKUP($B$2, [1]Data!$J$28:$K$52, 2, TRUE))
    - ((A61 - 1) * ((1017 - 17) / ($B$1 - 1))),
  0)
))</f>
        <v>-93</v>
      </c>
    </row>
    <row r="62" spans="1:2" x14ac:dyDescent="0.25">
      <c r="A62" s="44">
        <v>57</v>
      </c>
      <c r="B62" s="44">
        <f>IF($B$1&lt;=15,
  ROUND(
    (1000 + $B$1 + VLOOKUP($B$2, [1]Data!$J$28:$K$52, 2, TRUE))
    - ((A62 - 1) * ((1000) / ($B$1 - 1))),
  0),
IF($B$1&lt;=25,
  ROUND(
    (1016 + VLOOKUP($B$2, [1]Data!$J$28:$K$52, 2, TRUE))
    - ((A62 - 1) * ((1016 - 16) / ($B$1 - 1))),
  0),
  ROUND(
    (1017 + VLOOKUP($B$2, [1]Data!$J$28:$K$52, 2, TRUE))
    - ((A62 - 1) * ((1017 - 17) / ($B$1 - 1))),
  0)
))</f>
        <v>-116</v>
      </c>
    </row>
    <row r="63" spans="1:2" x14ac:dyDescent="0.25">
      <c r="A63" s="44">
        <v>58</v>
      </c>
      <c r="B63" s="44">
        <f>IF($B$1&lt;=15,
  ROUND(
    (1000 + $B$1 + VLOOKUP($B$2, [1]Data!$J$28:$K$52, 2, TRUE))
    - ((A63 - 1) * ((1000) / ($B$1 - 1))),
  0),
IF($B$1&lt;=25,
  ROUND(
    (1016 + VLOOKUP($B$2, [1]Data!$J$28:$K$52, 2, TRUE))
    - ((A63 - 1) * ((1016 - 16) / ($B$1 - 1))),
  0),
  ROUND(
    (1017 + VLOOKUP($B$2, [1]Data!$J$28:$K$52, 2, TRUE))
    - ((A63 - 1) * ((1017 - 17) / ($B$1 - 1))),
  0)
))</f>
        <v>-138</v>
      </c>
    </row>
    <row r="64" spans="1:2" x14ac:dyDescent="0.25">
      <c r="A64" s="44">
        <v>59</v>
      </c>
      <c r="B64" s="44">
        <f>IF($B$1&lt;=15,
  ROUND(
    (1000 + $B$1 + VLOOKUP($B$2, [1]Data!$J$28:$K$52, 2, TRUE))
    - ((A64 - 1) * ((1000) / ($B$1 - 1))),
  0),
IF($B$1&lt;=25,
  ROUND(
    (1016 + VLOOKUP($B$2, [1]Data!$J$28:$K$52, 2, TRUE))
    - ((A64 - 1) * ((1016 - 16) / ($B$1 - 1))),
  0),
  ROUND(
    (1017 + VLOOKUP($B$2, [1]Data!$J$28:$K$52, 2, TRUE))
    - ((A64 - 1) * ((1017 - 17) / ($B$1 - 1))),
  0)
))</f>
        <v>-161</v>
      </c>
    </row>
    <row r="65" spans="1:2" x14ac:dyDescent="0.25">
      <c r="A65" s="44">
        <v>60</v>
      </c>
      <c r="B65" s="44">
        <f>IF($B$1&lt;=15,
  ROUND(
    (1000 + $B$1 + VLOOKUP($B$2, [1]Data!$J$28:$K$52, 2, TRUE))
    - ((A65 - 1) * ((1000) / ($B$1 - 1))),
  0),
IF($B$1&lt;=25,
  ROUND(
    (1016 + VLOOKUP($B$2, [1]Data!$J$28:$K$52, 2, TRUE))
    - ((A65 - 1) * ((1016 - 16) / ($B$1 - 1))),
  0),
  ROUND(
    (1017 + VLOOKUP($B$2, [1]Data!$J$28:$K$52, 2, TRUE))
    - ((A65 - 1) * ((1017 - 17) / ($B$1 - 1))),
  0)
))</f>
        <v>-184</v>
      </c>
    </row>
    <row r="66" spans="1:2" x14ac:dyDescent="0.25">
      <c r="A66" s="44">
        <v>61</v>
      </c>
      <c r="B66" s="44">
        <f>IF($B$1&lt;=15,
  ROUND(
    (1000 + $B$1 + VLOOKUP($B$2, [1]Data!$J$28:$K$52, 2, TRUE))
    - ((A66 - 1) * ((1000) / ($B$1 - 1))),
  0),
IF($B$1&lt;=25,
  ROUND(
    (1016 + VLOOKUP($B$2, [1]Data!$J$28:$K$52, 2, TRUE))
    - ((A66 - 1) * ((1016 - 16) / ($B$1 - 1))),
  0),
  ROUND(
    (1017 + VLOOKUP($B$2, [1]Data!$J$28:$K$52, 2, TRUE))
    - ((A66 - 1) * ((1017 - 17) / ($B$1 - 1))),
  0)
))</f>
        <v>-207</v>
      </c>
    </row>
    <row r="67" spans="1:2" x14ac:dyDescent="0.25">
      <c r="A67" s="44">
        <v>62</v>
      </c>
      <c r="B67" s="44">
        <f>IF($B$1&lt;=15,
  ROUND(
    (1000 + $B$1 + VLOOKUP($B$2, [1]Data!$J$28:$K$52, 2, TRUE))
    - ((A67 - 1) * ((1000) / ($B$1 - 1))),
  0),
IF($B$1&lt;=25,
  ROUND(
    (1016 + VLOOKUP($B$2, [1]Data!$J$28:$K$52, 2, TRUE))
    - ((A67 - 1) * ((1016 - 16) / ($B$1 - 1))),
  0),
  ROUND(
    (1017 + VLOOKUP($B$2, [1]Data!$J$28:$K$52, 2, TRUE))
    - ((A67 - 1) * ((1017 - 17) / ($B$1 - 1))),
  0)
))</f>
        <v>-229</v>
      </c>
    </row>
    <row r="68" spans="1:2" x14ac:dyDescent="0.25">
      <c r="A68" s="44">
        <v>63</v>
      </c>
      <c r="B68" s="44">
        <f>IF($B$1&lt;=15,
  ROUND(
    (1000 + $B$1 + VLOOKUP($B$2, [1]Data!$J$28:$K$52, 2, TRUE))
    - ((A68 - 1) * ((1000) / ($B$1 - 1))),
  0),
IF($B$1&lt;=25,
  ROUND(
    (1016 + VLOOKUP($B$2, [1]Data!$J$28:$K$52, 2, TRUE))
    - ((A68 - 1) * ((1016 - 16) / ($B$1 - 1))),
  0),
  ROUND(
    (1017 + VLOOKUP($B$2, [1]Data!$J$28:$K$52, 2, TRUE))
    - ((A68 - 1) * ((1017 - 17) / ($B$1 - 1))),
  0)
))</f>
        <v>-252</v>
      </c>
    </row>
    <row r="69" spans="1:2" x14ac:dyDescent="0.25">
      <c r="A69" s="44">
        <v>64</v>
      </c>
      <c r="B69" s="44">
        <f>IF($B$1&lt;=15,
  ROUND(
    (1000 + $B$1 + VLOOKUP($B$2, [1]Data!$J$28:$K$52, 2, TRUE))
    - ((A69 - 1) * ((1000) / ($B$1 - 1))),
  0),
IF($B$1&lt;=25,
  ROUND(
    (1016 + VLOOKUP($B$2, [1]Data!$J$28:$K$52, 2, TRUE))
    - ((A69 - 1) * ((1016 - 16) / ($B$1 - 1))),
  0),
  ROUND(
    (1017 + VLOOKUP($B$2, [1]Data!$J$28:$K$52, 2, TRUE))
    - ((A69 - 1) * ((1017 - 17) / ($B$1 - 1))),
  0)
))</f>
        <v>-275</v>
      </c>
    </row>
    <row r="70" spans="1:2" x14ac:dyDescent="0.25">
      <c r="A70" s="44">
        <v>65</v>
      </c>
      <c r="B70" s="44">
        <f>IF($B$1&lt;=15,
  ROUND(
    (1000 + $B$1 + VLOOKUP($B$2, [1]Data!$J$28:$K$52, 2, TRUE))
    - ((A70 - 1) * ((1000) / ($B$1 - 1))),
  0),
IF($B$1&lt;=25,
  ROUND(
    (1016 + VLOOKUP($B$2, [1]Data!$J$28:$K$52, 2, TRUE))
    - ((A70 - 1) * ((1016 - 16) / ($B$1 - 1))),
  0),
  ROUND(
    (1017 + VLOOKUP($B$2, [1]Data!$J$28:$K$52, 2, TRUE))
    - ((A70 - 1) * ((1017 - 17) / ($B$1 - 1))),
  0)
))</f>
        <v>-298</v>
      </c>
    </row>
  </sheetData>
  <dataValidations count="1">
    <dataValidation type="list" allowBlank="1" showInputMessage="1" showErrorMessage="1" sqref="B1" xr:uid="{3C3543C4-A087-42C6-A31C-631382A29FC5}">
      <formula1>$A$11:$A$70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Start Page</vt:lpstr>
      <vt:lpstr>Main Page</vt:lpstr>
      <vt:lpstr>Calculations v2</vt:lpstr>
      <vt:lpstr>RACING</vt:lpstr>
      <vt:lpstr>Stints List</vt:lpstr>
      <vt:lpstr>Rapport Pilotes</vt:lpstr>
      <vt:lpstr>Simulateur</vt:lpstr>
      <vt:lpstr>RACING!Zone_d_impression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Dimitrios Stavroulis</dc:creator>
  <cp:lastModifiedBy>Samuel Libeert</cp:lastModifiedBy>
  <dcterms:created xsi:type="dcterms:W3CDTF">2015-06-05T18:17:20Z</dcterms:created>
  <dcterms:modified xsi:type="dcterms:W3CDTF">2025-06-23T16:55:44Z</dcterms:modified>
</cp:coreProperties>
</file>